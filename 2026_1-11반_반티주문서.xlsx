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421F06D-028B-4820-8478-7A3295CCB3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_사이즈별 요약" sheetId="1" r:id="rId1"/>
    <sheet name="2_상의 개별내역" sheetId="2" r:id="rId2"/>
    <sheet name="3_하의 개별내역" sheetId="3" r:id="rId3"/>
    <sheet name="4_학생별 비용" sheetId="4" r:id="rId4"/>
    <sheet name="5_주의사항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4" l="1"/>
  <c r="J13" i="4"/>
  <c r="G35" i="4"/>
  <c r="F35" i="4"/>
  <c r="E35" i="4"/>
  <c r="D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2" i="4"/>
  <c r="J11" i="4"/>
  <c r="J10" i="4"/>
  <c r="J9" i="4"/>
  <c r="J8" i="4"/>
  <c r="J7" i="4"/>
  <c r="J6" i="4"/>
  <c r="J5" i="4"/>
  <c r="J4" i="4"/>
  <c r="D21" i="1"/>
  <c r="D20" i="1"/>
  <c r="D19" i="1"/>
  <c r="D18" i="1"/>
  <c r="D22" i="1" s="1"/>
  <c r="H14" i="1"/>
  <c r="G14" i="1"/>
  <c r="F14" i="1"/>
  <c r="E14" i="1"/>
  <c r="D14" i="1"/>
  <c r="C14" i="1"/>
  <c r="I14" i="1" s="1"/>
  <c r="B14" i="1"/>
  <c r="I13" i="1"/>
  <c r="I12" i="1"/>
  <c r="H8" i="1"/>
  <c r="G8" i="1"/>
  <c r="F8" i="1"/>
  <c r="E8" i="1"/>
  <c r="D8" i="1"/>
  <c r="I8" i="1" s="1"/>
  <c r="C8" i="1"/>
  <c r="B8" i="1"/>
  <c r="I7" i="1"/>
  <c r="I6" i="1"/>
  <c r="J35" i="4" l="1"/>
</calcChain>
</file>

<file path=xl/sharedStrings.xml><?xml version="1.0" encoding="utf-8"?>
<sst xmlns="http://schemas.openxmlformats.org/spreadsheetml/2006/main" count="428" uniqueCount="165">
  <si>
    <r>
      <rPr>
        <b/>
        <sz val="14"/>
        <rFont val="맑은 고딕"/>
        <family val="3"/>
        <charset val="129"/>
      </rPr>
      <t>2026</t>
    </r>
    <r>
      <rPr>
        <b/>
        <sz val="14"/>
        <rFont val="Noto Sans CJK SC"/>
        <family val="2"/>
      </rPr>
      <t xml:space="preserve">학년도 </t>
    </r>
    <r>
      <rPr>
        <b/>
        <sz val="14"/>
        <rFont val="맑은 고딕"/>
        <family val="3"/>
        <charset val="129"/>
      </rPr>
      <t>1</t>
    </r>
    <r>
      <rPr>
        <b/>
        <sz val="14"/>
        <rFont val="Noto Sans CJK SC"/>
        <family val="2"/>
      </rPr>
      <t xml:space="preserve">학년 </t>
    </r>
    <r>
      <rPr>
        <b/>
        <sz val="14"/>
        <rFont val="맑은 고딕"/>
        <family val="3"/>
        <charset val="129"/>
      </rPr>
      <t>11</t>
    </r>
    <r>
      <rPr>
        <b/>
        <sz val="14"/>
        <rFont val="Noto Sans CJK SC"/>
        <family val="2"/>
      </rPr>
      <t>반 반티 주문 요약</t>
    </r>
  </si>
  <si>
    <r>
      <rPr>
        <i/>
        <sz val="10"/>
        <color rgb="FF666666"/>
        <rFont val="Noto Sans CJK SC"/>
        <family val="2"/>
      </rPr>
      <t xml:space="preserve">총 응답자 </t>
    </r>
    <r>
      <rPr>
        <i/>
        <sz val="10"/>
        <color rgb="FF666666"/>
        <rFont val="맑은 고딕"/>
        <family val="3"/>
        <charset val="129"/>
      </rPr>
      <t>30</t>
    </r>
    <r>
      <rPr>
        <i/>
        <sz val="10"/>
        <color rgb="FF666666"/>
        <rFont val="Noto Sans CJK SC"/>
        <family val="2"/>
      </rPr>
      <t xml:space="preserve">명 </t>
    </r>
    <r>
      <rPr>
        <i/>
        <sz val="10"/>
        <color rgb="FF666666"/>
        <rFont val="맑은 고딕"/>
        <family val="3"/>
        <charset val="129"/>
      </rPr>
      <t>(</t>
    </r>
    <r>
      <rPr>
        <i/>
        <sz val="10"/>
        <color rgb="FF666666"/>
        <rFont val="Noto Sans CJK SC"/>
        <family val="2"/>
      </rPr>
      <t>미응답</t>
    </r>
    <r>
      <rPr>
        <i/>
        <sz val="10"/>
        <color rgb="FF666666"/>
        <rFont val="맑은 고딕"/>
        <family val="3"/>
        <charset val="129"/>
      </rPr>
      <t xml:space="preserve">: 11110, 11114 / </t>
    </r>
    <r>
      <rPr>
        <i/>
        <sz val="10"/>
        <color rgb="FF666666"/>
        <rFont val="Noto Sans CJK SC"/>
        <family val="2"/>
      </rPr>
      <t>통계 제외</t>
    </r>
    <r>
      <rPr>
        <i/>
        <sz val="10"/>
        <color rgb="FF666666"/>
        <rFont val="맑은 고딕"/>
        <family val="3"/>
        <charset val="129"/>
      </rPr>
      <t>)</t>
    </r>
  </si>
  <si>
    <r>
      <rPr>
        <b/>
        <sz val="11"/>
        <rFont val="Noto Sans CJK SC"/>
        <family val="2"/>
      </rPr>
      <t xml:space="preserve">■ 상의 </t>
    </r>
    <r>
      <rPr>
        <b/>
        <sz val="11"/>
        <rFont val="맑은 고딕"/>
        <family val="3"/>
        <charset val="129"/>
      </rPr>
      <t>(12,000</t>
    </r>
    <r>
      <rPr>
        <b/>
        <sz val="11"/>
        <rFont val="Noto Sans CJK SC"/>
        <family val="2"/>
      </rPr>
      <t>원</t>
    </r>
    <r>
      <rPr>
        <b/>
        <sz val="11"/>
        <rFont val="맑은 고딕"/>
        <family val="3"/>
        <charset val="129"/>
      </rPr>
      <t>)</t>
    </r>
  </si>
  <si>
    <t>구분</t>
  </si>
  <si>
    <t>S(85)</t>
  </si>
  <si>
    <t>M(90)</t>
  </si>
  <si>
    <t>L(95)</t>
  </si>
  <si>
    <t>XL(100)</t>
  </si>
  <si>
    <t>2XL(105)</t>
  </si>
  <si>
    <t>3XL(110)</t>
  </si>
  <si>
    <t>4XL(115)</t>
  </si>
  <si>
    <t>합계</t>
  </si>
  <si>
    <t>반소매</t>
  </si>
  <si>
    <t>긴소매</t>
  </si>
  <si>
    <r>
      <rPr>
        <b/>
        <sz val="11"/>
        <rFont val="Noto Sans CJK SC"/>
        <family val="2"/>
      </rPr>
      <t xml:space="preserve">■ 하의 </t>
    </r>
    <r>
      <rPr>
        <b/>
        <sz val="11"/>
        <rFont val="맑은 고딕"/>
        <family val="3"/>
        <charset val="129"/>
      </rPr>
      <t>(5,000</t>
    </r>
    <r>
      <rPr>
        <b/>
        <sz val="11"/>
        <rFont val="Noto Sans CJK SC"/>
        <family val="2"/>
      </rPr>
      <t>원</t>
    </r>
    <r>
      <rPr>
        <b/>
        <sz val="11"/>
        <rFont val="맑은 고딕"/>
        <family val="3"/>
        <charset val="129"/>
      </rPr>
      <t xml:space="preserve">, </t>
    </r>
    <r>
      <rPr>
        <b/>
        <sz val="11"/>
        <rFont val="Noto Sans CJK SC"/>
        <family val="2"/>
      </rPr>
      <t>선택</t>
    </r>
    <r>
      <rPr>
        <b/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</si>
  <si>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>홈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화이트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</si>
  <si>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>어웨이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블랙</t>
    </r>
    <r>
      <rPr>
        <sz val="11"/>
        <rFont val="맑은 고딕"/>
        <family val="3"/>
        <charset val="129"/>
      </rPr>
      <t>)</t>
    </r>
  </si>
  <si>
    <t>■ 옵션 집계</t>
  </si>
  <si>
    <t>항목</t>
  </si>
  <si>
    <t>수량</t>
  </si>
  <si>
    <t>단가</t>
  </si>
  <si>
    <t>소계</t>
  </si>
  <si>
    <t>상의</t>
  </si>
  <si>
    <t>하의</t>
  </si>
  <si>
    <t>등번호</t>
  </si>
  <si>
    <t>이니셜</t>
  </si>
  <si>
    <t>총 주문 금액</t>
  </si>
  <si>
    <r>
      <rPr>
        <b/>
        <sz val="14"/>
        <rFont val="Noto Sans CJK SC"/>
        <family val="2"/>
      </rPr>
      <t xml:space="preserve">상의 개별 내역 </t>
    </r>
    <r>
      <rPr>
        <b/>
        <sz val="14"/>
        <rFont val="맑은 고딕"/>
        <family val="3"/>
        <charset val="129"/>
      </rPr>
      <t>(</t>
    </r>
    <r>
      <rPr>
        <b/>
        <sz val="14"/>
        <rFont val="Noto Sans CJK SC"/>
        <family val="2"/>
      </rPr>
      <t>사이즈</t>
    </r>
    <r>
      <rPr>
        <b/>
        <sz val="14"/>
        <rFont val="맑은 고딕"/>
        <family val="3"/>
        <charset val="129"/>
      </rPr>
      <t>·</t>
    </r>
    <r>
      <rPr>
        <b/>
        <sz val="14"/>
        <rFont val="Noto Sans CJK SC"/>
        <family val="2"/>
      </rPr>
      <t>소매별 정렬</t>
    </r>
    <r>
      <rPr>
        <b/>
        <sz val="14"/>
        <rFont val="맑은 고딕"/>
        <family val="3"/>
        <charset val="129"/>
      </rPr>
      <t>)</t>
    </r>
  </si>
  <si>
    <t>※ 각 사이즈별로 어떤 등번호와 이니셜이 들어가야 하는지 확인용</t>
  </si>
  <si>
    <t>학번</t>
  </si>
  <si>
    <t>이름</t>
  </si>
  <si>
    <t>상의 사이즈</t>
  </si>
  <si>
    <t>소매</t>
  </si>
  <si>
    <r>
      <rPr>
        <b/>
        <sz val="11"/>
        <rFont val="Noto Sans CJK SC"/>
        <family val="2"/>
      </rPr>
      <t xml:space="preserve">▼ 반소매 </t>
    </r>
    <r>
      <rPr>
        <b/>
        <sz val="11"/>
        <rFont val="맑은 고딕"/>
        <family val="3"/>
        <charset val="129"/>
      </rPr>
      <t>· S(85)</t>
    </r>
  </si>
  <si>
    <t>11123</t>
  </si>
  <si>
    <t>이해빈</t>
  </si>
  <si>
    <t>51</t>
  </si>
  <si>
    <t>홍창기</t>
  </si>
  <si>
    <t>11129</t>
  </si>
  <si>
    <t>천다흰</t>
  </si>
  <si>
    <r>
      <rPr>
        <b/>
        <sz val="11"/>
        <rFont val="Noto Sans CJK SC"/>
        <family val="2"/>
      </rPr>
      <t xml:space="preserve">▼ 반소매 </t>
    </r>
    <r>
      <rPr>
        <b/>
        <sz val="11"/>
        <rFont val="맑은 고딕"/>
        <family val="3"/>
        <charset val="129"/>
      </rPr>
      <t>· M(90)</t>
    </r>
  </si>
  <si>
    <t>11101</t>
  </si>
  <si>
    <t>강별하</t>
  </si>
  <si>
    <t>405</t>
  </si>
  <si>
    <t>11113</t>
  </si>
  <si>
    <t>박소은</t>
  </si>
  <si>
    <t>11119</t>
  </si>
  <si>
    <t>우경민</t>
  </si>
  <si>
    <t>11120</t>
  </si>
  <si>
    <t>이규연</t>
  </si>
  <si>
    <t>318</t>
  </si>
  <si>
    <t>11127</t>
  </si>
  <si>
    <t>지우빈</t>
  </si>
  <si>
    <t>15</t>
  </si>
  <si>
    <t>ARDA GULER</t>
  </si>
  <si>
    <r>
      <rPr>
        <b/>
        <sz val="11"/>
        <rFont val="Noto Sans CJK SC"/>
        <family val="2"/>
      </rPr>
      <t xml:space="preserve">▼ 반소매 </t>
    </r>
    <r>
      <rPr>
        <b/>
        <sz val="11"/>
        <rFont val="맑은 고딕"/>
        <family val="3"/>
        <charset val="129"/>
      </rPr>
      <t>· L(95)</t>
    </r>
  </si>
  <si>
    <t>11111</t>
  </si>
  <si>
    <t>남궁해광</t>
  </si>
  <si>
    <t>0</t>
  </si>
  <si>
    <t>11130</t>
  </si>
  <si>
    <t>천지현</t>
  </si>
  <si>
    <r>
      <rPr>
        <b/>
        <sz val="11"/>
        <rFont val="Noto Sans CJK SC"/>
        <family val="2"/>
      </rPr>
      <t xml:space="preserve">▼ 반소매 </t>
    </r>
    <r>
      <rPr>
        <b/>
        <sz val="11"/>
        <rFont val="맑은 고딕"/>
        <family val="3"/>
        <charset val="129"/>
      </rPr>
      <t>· 2XL(105)</t>
    </r>
  </si>
  <si>
    <t>11109</t>
  </si>
  <si>
    <t>김지호</t>
  </si>
  <si>
    <t>10</t>
  </si>
  <si>
    <t>11112</t>
  </si>
  <si>
    <t>마선우</t>
  </si>
  <si>
    <r>
      <rPr>
        <b/>
        <sz val="11"/>
        <rFont val="Noto Sans CJK SC"/>
        <family val="2"/>
      </rPr>
      <t xml:space="preserve">▼ 반소매 </t>
    </r>
    <r>
      <rPr>
        <b/>
        <sz val="11"/>
        <rFont val="맑은 고딕"/>
        <family val="3"/>
        <charset val="129"/>
      </rPr>
      <t>· 3XL(110)</t>
    </r>
  </si>
  <si>
    <t>11124</t>
  </si>
  <si>
    <t>전이룩</t>
  </si>
  <si>
    <t>11128</t>
  </si>
  <si>
    <t>채희범</t>
  </si>
  <si>
    <r>
      <rPr>
        <b/>
        <sz val="11"/>
        <rFont val="Noto Sans CJK SC"/>
        <family val="2"/>
      </rPr>
      <t xml:space="preserve">▼ 반소매 </t>
    </r>
    <r>
      <rPr>
        <b/>
        <sz val="11"/>
        <rFont val="맑은 고딕"/>
        <family val="3"/>
        <charset val="129"/>
      </rPr>
      <t>· 4XL(115)</t>
    </r>
  </si>
  <si>
    <t>11108</t>
  </si>
  <si>
    <t>김유근</t>
  </si>
  <si>
    <r>
      <rPr>
        <b/>
        <sz val="11"/>
        <rFont val="Noto Sans CJK SC"/>
        <family val="2"/>
      </rPr>
      <t xml:space="preserve">▼ 긴소매 </t>
    </r>
    <r>
      <rPr>
        <b/>
        <sz val="11"/>
        <rFont val="맑은 고딕"/>
        <family val="3"/>
        <charset val="129"/>
      </rPr>
      <t>· S(85)</t>
    </r>
  </si>
  <si>
    <t>11105</t>
  </si>
  <si>
    <t>김도현</t>
  </si>
  <si>
    <t>7</t>
  </si>
  <si>
    <t>11125</t>
  </si>
  <si>
    <t>정계선</t>
  </si>
  <si>
    <t>5</t>
  </si>
  <si>
    <t>BELLINGHAM</t>
  </si>
  <si>
    <t>11131</t>
  </si>
  <si>
    <t>최빈</t>
  </si>
  <si>
    <t>31</t>
  </si>
  <si>
    <r>
      <rPr>
        <b/>
        <sz val="11"/>
        <rFont val="Noto Sans CJK SC"/>
        <family val="2"/>
      </rPr>
      <t xml:space="preserve">▼ 긴소매 </t>
    </r>
    <r>
      <rPr>
        <b/>
        <sz val="11"/>
        <rFont val="맑은 고딕"/>
        <family val="3"/>
        <charset val="129"/>
      </rPr>
      <t>· M(90)</t>
    </r>
  </si>
  <si>
    <t>11103</t>
  </si>
  <si>
    <t>곽한서</t>
  </si>
  <si>
    <t>21</t>
  </si>
  <si>
    <t>11116</t>
  </si>
  <si>
    <t>심소희</t>
  </si>
  <si>
    <t>11117</t>
  </si>
  <si>
    <t>안주영</t>
  </si>
  <si>
    <t>11118</t>
  </si>
  <si>
    <t>오서인</t>
  </si>
  <si>
    <t>11121</t>
  </si>
  <si>
    <t>이민성</t>
  </si>
  <si>
    <t>빅나티를변기에넣고서내려</t>
  </si>
  <si>
    <r>
      <rPr>
        <b/>
        <sz val="11"/>
        <rFont val="Noto Sans CJK SC"/>
        <family val="2"/>
      </rPr>
      <t xml:space="preserve">▼ 긴소매 </t>
    </r>
    <r>
      <rPr>
        <b/>
        <sz val="11"/>
        <rFont val="맑은 고딕"/>
        <family val="3"/>
        <charset val="129"/>
      </rPr>
      <t>· L(95)</t>
    </r>
  </si>
  <si>
    <t>11104</t>
  </si>
  <si>
    <t>김가빈</t>
  </si>
  <si>
    <t>04</t>
  </si>
  <si>
    <t>11126</t>
  </si>
  <si>
    <t>정재빈</t>
  </si>
  <si>
    <t>8</t>
  </si>
  <si>
    <t>VALVERDE</t>
  </si>
  <si>
    <r>
      <rPr>
        <b/>
        <sz val="11"/>
        <rFont val="Noto Sans CJK SC"/>
        <family val="2"/>
      </rPr>
      <t xml:space="preserve">▼ 긴소매 </t>
    </r>
    <r>
      <rPr>
        <b/>
        <sz val="11"/>
        <rFont val="맑은 고딕"/>
        <family val="3"/>
        <charset val="129"/>
      </rPr>
      <t>· XL(100)</t>
    </r>
  </si>
  <si>
    <t>11102</t>
  </si>
  <si>
    <t>고현준</t>
  </si>
  <si>
    <t>77</t>
  </si>
  <si>
    <t>Cr7</t>
  </si>
  <si>
    <t>11106</t>
  </si>
  <si>
    <t>김문빈</t>
  </si>
  <si>
    <t>MBAPPÉ</t>
  </si>
  <si>
    <t>11107</t>
  </si>
  <si>
    <t>김승준</t>
  </si>
  <si>
    <t>11115</t>
  </si>
  <si>
    <t>서혜원</t>
  </si>
  <si>
    <t>11122</t>
  </si>
  <si>
    <t>이예인</t>
  </si>
  <si>
    <t>22</t>
  </si>
  <si>
    <t>11132</t>
  </si>
  <si>
    <t>허승우</t>
  </si>
  <si>
    <r>
      <rPr>
        <b/>
        <sz val="14"/>
        <rFont val="Noto Sans CJK SC"/>
        <family val="2"/>
      </rPr>
      <t xml:space="preserve">하의 개별 내역 </t>
    </r>
    <r>
      <rPr>
        <b/>
        <sz val="14"/>
        <rFont val="맑은 고딕"/>
        <family val="3"/>
        <charset val="129"/>
      </rPr>
      <t>(</t>
    </r>
    <r>
      <rPr>
        <b/>
        <sz val="14"/>
        <rFont val="Noto Sans CJK SC"/>
        <family val="2"/>
      </rPr>
      <t>구매자만</t>
    </r>
    <r>
      <rPr>
        <b/>
        <sz val="14"/>
        <rFont val="맑은 고딕"/>
        <family val="3"/>
        <charset val="129"/>
      </rPr>
      <t xml:space="preserve">, </t>
    </r>
    <r>
      <rPr>
        <b/>
        <sz val="14"/>
        <rFont val="Noto Sans CJK SC"/>
        <family val="2"/>
      </rPr>
      <t>옵션</t>
    </r>
    <r>
      <rPr>
        <b/>
        <sz val="14"/>
        <rFont val="맑은 고딕"/>
        <family val="3"/>
        <charset val="129"/>
      </rPr>
      <t>·</t>
    </r>
    <r>
      <rPr>
        <b/>
        <sz val="14"/>
        <rFont val="Noto Sans CJK SC"/>
        <family val="2"/>
      </rPr>
      <t>사이즈별 정렬</t>
    </r>
    <r>
      <rPr>
        <b/>
        <sz val="14"/>
        <rFont val="맑은 고딕"/>
        <family val="3"/>
        <charset val="129"/>
      </rPr>
      <t>)</t>
    </r>
  </si>
  <si>
    <t>하의 옵션</t>
  </si>
  <si>
    <t>하의 사이즈</t>
  </si>
  <si>
    <r>
      <rPr>
        <b/>
        <sz val="11"/>
        <rFont val="Noto Sans CJK SC"/>
        <family val="2"/>
      </rPr>
      <t>▼ 홈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화이트</t>
    </r>
    <r>
      <rPr>
        <b/>
        <sz val="11"/>
        <rFont val="맑은 고딕"/>
        <family val="3"/>
        <charset val="129"/>
      </rPr>
      <t>) · S(85)</t>
    </r>
  </si>
  <si>
    <r>
      <rPr>
        <b/>
        <sz val="11"/>
        <rFont val="Noto Sans CJK SC"/>
        <family val="2"/>
      </rPr>
      <t>▼ 홈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화이트</t>
    </r>
    <r>
      <rPr>
        <b/>
        <sz val="11"/>
        <rFont val="맑은 고딕"/>
        <family val="3"/>
        <charset val="129"/>
      </rPr>
      <t>) · M(90)</t>
    </r>
  </si>
  <si>
    <r>
      <rPr>
        <b/>
        <sz val="11"/>
        <rFont val="Noto Sans CJK SC"/>
        <family val="2"/>
      </rPr>
      <t>▼ 홈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화이트</t>
    </r>
    <r>
      <rPr>
        <b/>
        <sz val="11"/>
        <rFont val="맑은 고딕"/>
        <family val="3"/>
        <charset val="129"/>
      </rPr>
      <t>) · L(95)</t>
    </r>
  </si>
  <si>
    <r>
      <rPr>
        <b/>
        <sz val="11"/>
        <rFont val="Noto Sans CJK SC"/>
        <family val="2"/>
      </rPr>
      <t>▼ 홈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화이트</t>
    </r>
    <r>
      <rPr>
        <b/>
        <sz val="11"/>
        <rFont val="맑은 고딕"/>
        <family val="3"/>
        <charset val="129"/>
      </rPr>
      <t>) · XL(100)</t>
    </r>
  </si>
  <si>
    <r>
      <rPr>
        <b/>
        <sz val="11"/>
        <rFont val="Noto Sans CJK SC"/>
        <family val="2"/>
      </rPr>
      <t>▼ 홈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화이트</t>
    </r>
    <r>
      <rPr>
        <b/>
        <sz val="11"/>
        <rFont val="맑은 고딕"/>
        <family val="3"/>
        <charset val="129"/>
      </rPr>
      <t>) · 3XL(110)</t>
    </r>
  </si>
  <si>
    <r>
      <rPr>
        <b/>
        <sz val="11"/>
        <rFont val="Noto Sans CJK SC"/>
        <family val="2"/>
      </rPr>
      <t>▼ 어웨이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블랙</t>
    </r>
    <r>
      <rPr>
        <b/>
        <sz val="11"/>
        <rFont val="맑은 고딕"/>
        <family val="3"/>
        <charset val="129"/>
      </rPr>
      <t>) · L(95)</t>
    </r>
  </si>
  <si>
    <r>
      <rPr>
        <b/>
        <sz val="11"/>
        <rFont val="Noto Sans CJK SC"/>
        <family val="2"/>
      </rPr>
      <t>▼ 어웨이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블랙</t>
    </r>
    <r>
      <rPr>
        <b/>
        <sz val="11"/>
        <rFont val="맑은 고딕"/>
        <family val="3"/>
        <charset val="129"/>
      </rPr>
      <t>) · 2XL(105)</t>
    </r>
  </si>
  <si>
    <r>
      <rPr>
        <b/>
        <sz val="14"/>
        <rFont val="Noto Sans CJK SC"/>
        <family val="2"/>
      </rPr>
      <t xml:space="preserve">학생별 주문 금액 </t>
    </r>
    <r>
      <rPr>
        <b/>
        <sz val="14"/>
        <rFont val="맑은 고딕"/>
        <family val="3"/>
        <charset val="129"/>
      </rPr>
      <t>(</t>
    </r>
    <r>
      <rPr>
        <b/>
        <sz val="14"/>
        <rFont val="Noto Sans CJK SC"/>
        <family val="2"/>
      </rPr>
      <t>수합용</t>
    </r>
    <r>
      <rPr>
        <b/>
        <sz val="14"/>
        <rFont val="맑은 고딕"/>
        <family val="3"/>
        <charset val="129"/>
      </rPr>
      <t>)</t>
    </r>
  </si>
  <si>
    <r>
      <rPr>
        <b/>
        <sz val="11"/>
        <color rgb="FFFFFFFF"/>
        <rFont val="Noto Sans CJK SC"/>
        <family val="2"/>
      </rPr>
      <t xml:space="preserve">상의
</t>
    </r>
    <r>
      <rPr>
        <b/>
        <sz val="11"/>
        <color rgb="FFFFFFFF"/>
        <rFont val="맑은 고딕"/>
        <family val="3"/>
        <charset val="129"/>
      </rPr>
      <t>(12,000)</t>
    </r>
  </si>
  <si>
    <r>
      <rPr>
        <b/>
        <sz val="11"/>
        <color rgb="FFFFFFFF"/>
        <rFont val="Noto Sans CJK SC"/>
        <family val="2"/>
      </rPr>
      <t xml:space="preserve">하의
</t>
    </r>
    <r>
      <rPr>
        <b/>
        <sz val="11"/>
        <color rgb="FFFFFFFF"/>
        <rFont val="맑은 고딕"/>
        <family val="3"/>
        <charset val="129"/>
      </rPr>
      <t>(5,000)</t>
    </r>
  </si>
  <si>
    <r>
      <rPr>
        <b/>
        <sz val="11"/>
        <color rgb="FFFFFFFF"/>
        <rFont val="Noto Sans CJK SC"/>
        <family val="2"/>
      </rPr>
      <t xml:space="preserve">등번호
</t>
    </r>
    <r>
      <rPr>
        <b/>
        <sz val="11"/>
        <color rgb="FFFFFFFF"/>
        <rFont val="맑은 고딕"/>
        <family val="3"/>
        <charset val="129"/>
      </rPr>
      <t>(3,000)</t>
    </r>
  </si>
  <si>
    <r>
      <rPr>
        <b/>
        <sz val="11"/>
        <color rgb="FFFFFFFF"/>
        <rFont val="Noto Sans CJK SC"/>
        <family val="2"/>
      </rPr>
      <t xml:space="preserve">이니셜
</t>
    </r>
    <r>
      <rPr>
        <b/>
        <sz val="11"/>
        <color rgb="FFFFFFFF"/>
        <rFont val="맑은 고딕"/>
        <family val="3"/>
        <charset val="129"/>
      </rPr>
      <t>(2,000)</t>
    </r>
  </si>
  <si>
    <t>-</t>
  </si>
  <si>
    <t>주문 전 확인 필요 사항</t>
  </si>
  <si>
    <t>내용</t>
  </si>
  <si>
    <t>비고</t>
  </si>
  <si>
    <t>이니셜 글자수 초과</t>
  </si>
  <si>
    <r>
      <rPr>
        <sz val="11"/>
        <rFont val="맑은 고딕"/>
        <family val="3"/>
        <charset val="129"/>
      </rPr>
      <t xml:space="preserve">11121 </t>
    </r>
    <r>
      <rPr>
        <sz val="11"/>
        <rFont val="Noto Sans CJK SC"/>
        <family val="2"/>
      </rPr>
      <t>이민성</t>
    </r>
    <r>
      <rPr>
        <sz val="11"/>
        <rFont val="맑은 고딕"/>
        <family val="3"/>
        <charset val="129"/>
      </rPr>
      <t>: '</t>
    </r>
    <r>
      <rPr>
        <sz val="11"/>
        <rFont val="Noto Sans CJK SC"/>
        <family val="2"/>
      </rPr>
      <t>빅나티를변기에넣고서내려</t>
    </r>
    <r>
      <rPr>
        <sz val="11"/>
        <rFont val="맑은 고딕"/>
        <family val="3"/>
        <charset val="129"/>
      </rPr>
      <t>' (</t>
    </r>
    <r>
      <rPr>
        <sz val="11"/>
        <rFont val="Noto Sans CJK SC"/>
        <family val="2"/>
      </rPr>
      <t xml:space="preserve">한글 </t>
    </r>
    <r>
      <rPr>
        <sz val="11"/>
        <rFont val="맑은 고딕"/>
        <family val="3"/>
        <charset val="129"/>
      </rPr>
      <t>13</t>
    </r>
    <r>
      <rPr>
        <sz val="11"/>
        <rFont val="Noto Sans CJK SC"/>
        <family val="2"/>
      </rPr>
      <t>자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</si>
  <si>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추천 한글 </t>
    </r>
    <r>
      <rPr>
        <sz val="11"/>
        <rFont val="맑은 고딕"/>
        <family val="3"/>
        <charset val="129"/>
      </rPr>
      <t>5</t>
    </r>
    <r>
      <rPr>
        <sz val="11"/>
        <rFont val="Noto Sans CJK SC"/>
        <family val="2"/>
      </rPr>
      <t>자 초과 → 업체에 제작 가능 여부 확인</t>
    </r>
  </si>
  <si>
    <r>
      <rPr>
        <sz val="11"/>
        <rFont val="맑은 고딕"/>
        <family val="3"/>
        <charset val="129"/>
      </rPr>
      <t xml:space="preserve">11125 </t>
    </r>
    <r>
      <rPr>
        <sz val="11"/>
        <rFont val="Noto Sans CJK SC"/>
        <family val="2"/>
      </rPr>
      <t>정계선</t>
    </r>
    <r>
      <rPr>
        <sz val="11"/>
        <rFont val="맑은 고딕"/>
        <family val="3"/>
        <charset val="129"/>
      </rPr>
      <t>: 'BELLINGHAM' (</t>
    </r>
    <r>
      <rPr>
        <sz val="11"/>
        <rFont val="Noto Sans CJK SC"/>
        <family val="2"/>
      </rPr>
      <t xml:space="preserve">영문 </t>
    </r>
    <r>
      <rPr>
        <sz val="11"/>
        <rFont val="맑은 고딕"/>
        <family val="3"/>
        <charset val="129"/>
      </rPr>
      <t>10</t>
    </r>
    <r>
      <rPr>
        <sz val="11"/>
        <rFont val="Noto Sans CJK SC"/>
        <family val="2"/>
      </rPr>
      <t>자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</si>
  <si>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추천 영문 </t>
    </r>
    <r>
      <rPr>
        <sz val="11"/>
        <rFont val="맑은 고딕"/>
        <family val="3"/>
        <charset val="129"/>
      </rPr>
      <t>9</t>
    </r>
    <r>
      <rPr>
        <sz val="11"/>
        <rFont val="Noto Sans CJK SC"/>
        <family val="2"/>
      </rPr>
      <t>자 초과 → 업체에 제작 가능 여부 확인</t>
    </r>
  </si>
  <si>
    <r>
      <rPr>
        <sz val="11"/>
        <rFont val="맑은 고딕"/>
        <family val="3"/>
        <charset val="129"/>
      </rPr>
      <t xml:space="preserve">11127 </t>
    </r>
    <r>
      <rPr>
        <sz val="11"/>
        <rFont val="Noto Sans CJK SC"/>
        <family val="2"/>
      </rPr>
      <t>지우빈</t>
    </r>
    <r>
      <rPr>
        <sz val="11"/>
        <rFont val="맑은 고딕"/>
        <family val="3"/>
        <charset val="129"/>
      </rPr>
      <t>: 'ARDA GULER' (</t>
    </r>
    <r>
      <rPr>
        <sz val="11"/>
        <rFont val="Noto Sans CJK SC"/>
        <family val="2"/>
      </rPr>
      <t xml:space="preserve">공백 포함 </t>
    </r>
    <r>
      <rPr>
        <sz val="11"/>
        <rFont val="맑은 고딕"/>
        <family val="3"/>
        <charset val="129"/>
      </rPr>
      <t>10</t>
    </r>
    <r>
      <rPr>
        <sz val="11"/>
        <rFont val="Noto Sans CJK SC"/>
        <family val="2"/>
      </rPr>
      <t>자</t>
    </r>
    <r>
      <rPr>
        <sz val="11"/>
        <rFont val="맑은 고딕"/>
        <family val="3"/>
        <charset val="129"/>
      </rPr>
      <t>)</t>
    </r>
  </si>
  <si>
    <t>응답 수정 반영</t>
  </si>
  <si>
    <r>
      <rPr>
        <sz val="11"/>
        <rFont val="맑은 고딕"/>
        <family val="3"/>
        <charset val="129"/>
      </rPr>
      <t xml:space="preserve">11131 </t>
    </r>
    <r>
      <rPr>
        <sz val="11"/>
        <rFont val="Noto Sans CJK SC"/>
        <family val="2"/>
      </rPr>
      <t>최빈</t>
    </r>
    <r>
      <rPr>
        <sz val="11"/>
        <rFont val="맑은 고딕"/>
        <family val="3"/>
        <charset val="129"/>
      </rPr>
      <t xml:space="preserve">: </t>
    </r>
    <r>
      <rPr>
        <sz val="11"/>
        <rFont val="Noto Sans CJK SC"/>
        <family val="2"/>
      </rPr>
      <t xml:space="preserve">등번호 </t>
    </r>
    <r>
      <rPr>
        <sz val="11"/>
        <rFont val="맑은 고딕"/>
        <family val="3"/>
        <charset val="129"/>
      </rPr>
      <t xml:space="preserve">31, </t>
    </r>
    <r>
      <rPr>
        <sz val="11"/>
        <rFont val="Noto Sans CJK SC"/>
        <family val="2"/>
      </rPr>
      <t xml:space="preserve">이니셜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최빈</t>
    </r>
    <r>
      <rPr>
        <sz val="11"/>
        <rFont val="맑은 고딕"/>
        <family val="3"/>
        <charset val="129"/>
      </rPr>
      <t>'</t>
    </r>
  </si>
  <si>
    <t>원응답 칸이 바뀌어 입력되어 있어 수정 반영</t>
  </si>
  <si>
    <t>미응답자</t>
  </si>
  <si>
    <r>
      <rPr>
        <sz val="11"/>
        <rFont val="맑은 고딕"/>
        <family val="3"/>
        <charset val="129"/>
      </rPr>
      <t>11110, 11114 (2</t>
    </r>
    <r>
      <rPr>
        <sz val="11"/>
        <rFont val="Noto Sans CJK SC"/>
        <family val="2"/>
      </rPr>
      <t>명</t>
    </r>
    <r>
      <rPr>
        <sz val="11"/>
        <rFont val="맑은 고딕"/>
        <family val="3"/>
        <charset val="129"/>
      </rPr>
      <t>)</t>
    </r>
  </si>
  <si>
    <t>집계에서 제외 — 필요 시 개별 확인</t>
  </si>
  <si>
    <t>중복 응답 처리</t>
  </si>
  <si>
    <r>
      <rPr>
        <sz val="11"/>
        <rFont val="Noto Sans CJK SC"/>
        <family val="2"/>
      </rPr>
      <t>곽한서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김도현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김승준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안주영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오서인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우경민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이규연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이민성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전이룩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채희범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 xml:space="preserve">허승우 </t>
    </r>
    <r>
      <rPr>
        <sz val="11"/>
        <rFont val="맑은 고딕"/>
        <family val="3"/>
        <charset val="129"/>
      </rPr>
      <t>(11</t>
    </r>
    <r>
      <rPr>
        <sz val="11"/>
        <rFont val="Noto Sans CJK SC"/>
        <family val="2"/>
      </rPr>
      <t>명</t>
    </r>
    <r>
      <rPr>
        <sz val="11"/>
        <rFont val="맑은 고딕"/>
        <family val="3"/>
        <charset val="129"/>
      </rPr>
      <t>)</t>
    </r>
  </si>
  <si>
    <t>가장 최신 타임스탬프 응답만 채택</t>
  </si>
  <si>
    <t>김태연</t>
    <phoneticPr fontId="11" type="noConversion"/>
  </si>
  <si>
    <t>죠르노 죠바나</t>
    <phoneticPr fontId="11" type="noConversion"/>
  </si>
  <si>
    <t>L(95)</t>
    <phoneticPr fontId="11" type="noConversion"/>
  </si>
  <si>
    <t>반소매</t>
    <phoneticPr fontId="11" type="noConversion"/>
  </si>
  <si>
    <t>서정민</t>
    <phoneticPr fontId="11" type="noConversion"/>
  </si>
  <si>
    <t>M(90)</t>
    <phoneticPr fontId="11" type="noConversion"/>
  </si>
  <si>
    <t>어웨이(블랙)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</si>
</sst>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13">
    <font>
      <sz val="11"/>
      <color theme="1"/>
      <name val="Calibri"/>
      <family val="2"/>
      <charset val="1"/>
    </font>
    <font>
      <b/>
      <sz val="14"/>
      <name val="맑은 고딕"/>
      <family val="3"/>
      <charset val="129"/>
    </font>
    <font>
      <b/>
      <sz val="14"/>
      <name val="Noto Sans CJK SC"/>
      <family val="2"/>
    </font>
    <font>
      <i/>
      <sz val="10"/>
      <color rgb="FF666666"/>
      <name val="Noto Sans CJK SC"/>
      <family val="2"/>
    </font>
    <font>
      <i/>
      <sz val="10"/>
      <color rgb="FF666666"/>
      <name val="맑은 고딕"/>
      <family val="3"/>
      <charset val="129"/>
    </font>
    <font>
      <b/>
      <sz val="11"/>
      <name val="Noto Sans CJK SC"/>
      <family val="2"/>
    </font>
    <font>
      <b/>
      <sz val="11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sz val="11"/>
      <name val="Noto Sans CJK SC"/>
      <family val="2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돋움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FD966"/>
        <bgColor rgb="FFFFC7CE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E2EFDA"/>
      </patternFill>
    </fill>
    <fill>
      <patternFill patternType="solid">
        <fgColor rgb="FFFFC7CE"/>
        <bgColor rgb="FFFCE4D6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0" xfId="0" applyFont="1"/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0" fontId="5" fillId="4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Normal="100" workbookViewId="0">
      <selection activeCell="K13" sqref="K13"/>
    </sheetView>
  </sheetViews>
  <sheetFormatPr defaultColWidth="8.6640625" defaultRowHeight="14.4"/>
  <cols>
    <col min="1" max="1" width="14" customWidth="1"/>
    <col min="2" max="9" width="12" customWidth="1"/>
  </cols>
  <sheetData>
    <row r="1" spans="1:9" ht="21.6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4" spans="1:9" ht="17.399999999999999">
      <c r="A4" s="25" t="s">
        <v>2</v>
      </c>
      <c r="B4" s="25"/>
      <c r="C4" s="25"/>
      <c r="D4" s="25"/>
      <c r="E4" s="25"/>
      <c r="F4" s="25"/>
      <c r="G4" s="25"/>
      <c r="H4" s="25"/>
      <c r="I4" s="25"/>
    </row>
    <row r="5" spans="1:9" ht="17.399999999999999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1" t="s">
        <v>11</v>
      </c>
    </row>
    <row r="6" spans="1:9">
      <c r="A6" s="3" t="s">
        <v>12</v>
      </c>
      <c r="B6" s="3">
        <v>2</v>
      </c>
      <c r="C6" s="3">
        <v>5</v>
      </c>
      <c r="D6" s="3">
        <v>2</v>
      </c>
      <c r="E6" s="3"/>
      <c r="F6" s="3">
        <v>2</v>
      </c>
      <c r="G6" s="3">
        <v>2</v>
      </c>
      <c r="H6" s="3">
        <v>1</v>
      </c>
      <c r="I6" s="3">
        <f>SUM(B6:H6)</f>
        <v>14</v>
      </c>
    </row>
    <row r="7" spans="1:9">
      <c r="A7" s="4" t="s">
        <v>13</v>
      </c>
      <c r="B7" s="4">
        <v>3</v>
      </c>
      <c r="C7" s="4">
        <v>5</v>
      </c>
      <c r="D7" s="4">
        <v>2</v>
      </c>
      <c r="E7" s="4">
        <v>6</v>
      </c>
      <c r="F7" s="4"/>
      <c r="G7" s="4"/>
      <c r="H7" s="4"/>
      <c r="I7" s="4">
        <f>SUM(B7:H7)</f>
        <v>16</v>
      </c>
    </row>
    <row r="8" spans="1:9">
      <c r="A8" s="5" t="s">
        <v>11</v>
      </c>
      <c r="B8" s="5">
        <f t="shared" ref="B8:H8" si="0">SUM(B6:B7)</f>
        <v>5</v>
      </c>
      <c r="C8" s="5">
        <f t="shared" si="0"/>
        <v>10</v>
      </c>
      <c r="D8" s="5">
        <f t="shared" si="0"/>
        <v>4</v>
      </c>
      <c r="E8" s="5">
        <f t="shared" si="0"/>
        <v>6</v>
      </c>
      <c r="F8" s="5">
        <f t="shared" si="0"/>
        <v>2</v>
      </c>
      <c r="G8" s="5">
        <f t="shared" si="0"/>
        <v>2</v>
      </c>
      <c r="H8" s="5">
        <f t="shared" si="0"/>
        <v>1</v>
      </c>
      <c r="I8" s="5">
        <f>SUM(B8:H8)</f>
        <v>30</v>
      </c>
    </row>
    <row r="10" spans="1:9" ht="17.399999999999999">
      <c r="A10" s="25" t="s">
        <v>14</v>
      </c>
      <c r="B10" s="25"/>
      <c r="C10" s="25"/>
      <c r="D10" s="25"/>
      <c r="E10" s="25"/>
      <c r="F10" s="25"/>
      <c r="G10" s="25"/>
      <c r="H10" s="25"/>
      <c r="I10" s="25"/>
    </row>
    <row r="11" spans="1:9" ht="17.399999999999999">
      <c r="A11" s="1" t="s">
        <v>3</v>
      </c>
      <c r="B11" s="2" t="s">
        <v>4</v>
      </c>
      <c r="C11" s="2" t="s">
        <v>5</v>
      </c>
      <c r="D11" s="2" t="s">
        <v>6</v>
      </c>
      <c r="E11" s="2" t="s">
        <v>7</v>
      </c>
      <c r="F11" s="2" t="s">
        <v>8</v>
      </c>
      <c r="G11" s="2" t="s">
        <v>9</v>
      </c>
      <c r="H11" s="2" t="s">
        <v>10</v>
      </c>
      <c r="I11" s="1" t="s">
        <v>11</v>
      </c>
    </row>
    <row r="12" spans="1:9" ht="17.399999999999999">
      <c r="A12" s="6" t="s">
        <v>15</v>
      </c>
      <c r="B12" s="6">
        <v>1</v>
      </c>
      <c r="C12" s="6">
        <v>3</v>
      </c>
      <c r="D12" s="6">
        <v>2</v>
      </c>
      <c r="E12" s="6">
        <v>2</v>
      </c>
      <c r="F12" s="6"/>
      <c r="G12" s="6">
        <v>2</v>
      </c>
      <c r="H12" s="6"/>
      <c r="I12" s="6">
        <f>SUM(B12:H12)</f>
        <v>10</v>
      </c>
    </row>
    <row r="13" spans="1:9" ht="17.399999999999999">
      <c r="A13" s="7" t="s">
        <v>16</v>
      </c>
      <c r="B13" s="7"/>
      <c r="C13" s="7"/>
      <c r="D13" s="7">
        <v>1</v>
      </c>
      <c r="E13" s="7"/>
      <c r="F13" s="7">
        <v>1</v>
      </c>
      <c r="G13" s="7"/>
      <c r="H13" s="7"/>
      <c r="I13" s="7">
        <f>SUM(B13:H13)</f>
        <v>2</v>
      </c>
    </row>
    <row r="14" spans="1:9">
      <c r="A14" s="5" t="s">
        <v>11</v>
      </c>
      <c r="B14" s="5">
        <f t="shared" ref="B14:H14" si="1">SUM(B12:B13)</f>
        <v>1</v>
      </c>
      <c r="C14" s="5">
        <f t="shared" si="1"/>
        <v>3</v>
      </c>
      <c r="D14" s="5">
        <f t="shared" si="1"/>
        <v>3</v>
      </c>
      <c r="E14" s="5">
        <f t="shared" si="1"/>
        <v>2</v>
      </c>
      <c r="F14" s="5">
        <f t="shared" si="1"/>
        <v>1</v>
      </c>
      <c r="G14" s="5">
        <f t="shared" si="1"/>
        <v>2</v>
      </c>
      <c r="H14" s="5">
        <f t="shared" si="1"/>
        <v>0</v>
      </c>
      <c r="I14" s="5">
        <f>SUM(B14:H14)</f>
        <v>12</v>
      </c>
    </row>
    <row r="16" spans="1:9">
      <c r="A16" s="25" t="s">
        <v>17</v>
      </c>
      <c r="B16" s="25"/>
      <c r="C16" s="25"/>
      <c r="D16" s="25"/>
      <c r="E16" s="25"/>
      <c r="F16" s="25"/>
      <c r="G16" s="25"/>
      <c r="H16" s="25"/>
      <c r="I16" s="25"/>
    </row>
    <row r="17" spans="1:4">
      <c r="A17" s="1" t="s">
        <v>18</v>
      </c>
      <c r="B17" s="1" t="s">
        <v>19</v>
      </c>
      <c r="C17" s="1" t="s">
        <v>20</v>
      </c>
      <c r="D17" s="1" t="s">
        <v>21</v>
      </c>
    </row>
    <row r="18" spans="1:4" ht="17.399999999999999">
      <c r="A18" s="8" t="s">
        <v>22</v>
      </c>
      <c r="B18" s="8">
        <v>30</v>
      </c>
      <c r="C18" s="9">
        <v>12000</v>
      </c>
      <c r="D18" s="9">
        <f>B18*C18</f>
        <v>360000</v>
      </c>
    </row>
    <row r="19" spans="1:4" ht="17.399999999999999">
      <c r="A19" s="8" t="s">
        <v>23</v>
      </c>
      <c r="B19" s="8">
        <v>12</v>
      </c>
      <c r="C19" s="9">
        <v>5000</v>
      </c>
      <c r="D19" s="9">
        <f>B19*C19</f>
        <v>60000</v>
      </c>
    </row>
    <row r="20" spans="1:4" ht="17.399999999999999">
      <c r="A20" s="8" t="s">
        <v>24</v>
      </c>
      <c r="B20" s="8">
        <v>16</v>
      </c>
      <c r="C20" s="9">
        <v>3000</v>
      </c>
      <c r="D20" s="9">
        <f>B20*C20</f>
        <v>48000</v>
      </c>
    </row>
    <row r="21" spans="1:4" ht="17.399999999999999">
      <c r="A21" s="8" t="s">
        <v>25</v>
      </c>
      <c r="B21" s="8">
        <v>10</v>
      </c>
      <c r="C21" s="9">
        <v>2000</v>
      </c>
      <c r="D21" s="9">
        <f>B21*C21</f>
        <v>20000</v>
      </c>
    </row>
    <row r="22" spans="1:4" ht="17.100000000000001" customHeight="1">
      <c r="A22" s="22" t="s">
        <v>26</v>
      </c>
      <c r="B22" s="22"/>
      <c r="C22" s="22"/>
      <c r="D22" s="10">
        <f>SUM(D18:D21)</f>
        <v>488000</v>
      </c>
    </row>
  </sheetData>
  <mergeCells count="6">
    <mergeCell ref="A22:C22"/>
    <mergeCell ref="A1:I1"/>
    <mergeCell ref="A2:I2"/>
    <mergeCell ref="A4:I4"/>
    <mergeCell ref="A10:I10"/>
    <mergeCell ref="A16:I16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topLeftCell="A36" zoomScale="150" zoomScaleNormal="150" workbookViewId="0">
      <selection activeCell="I41" sqref="I41"/>
    </sheetView>
  </sheetViews>
  <sheetFormatPr defaultColWidth="8.6640625" defaultRowHeight="14.4"/>
  <cols>
    <col min="1" max="1" width="10" customWidth="1"/>
    <col min="2" max="3" width="12" customWidth="1"/>
    <col min="4" max="5" width="10" customWidth="1"/>
    <col min="6" max="6" width="28" customWidth="1"/>
  </cols>
  <sheetData>
    <row r="1" spans="1:6" ht="21.6" customHeight="1">
      <c r="A1" s="28" t="s">
        <v>27</v>
      </c>
      <c r="B1" s="28"/>
      <c r="C1" s="28"/>
      <c r="D1" s="28"/>
      <c r="E1" s="28"/>
      <c r="F1" s="28"/>
    </row>
    <row r="2" spans="1:6" ht="15" customHeight="1">
      <c r="A2" s="24" t="s">
        <v>28</v>
      </c>
      <c r="B2" s="24"/>
      <c r="C2" s="24"/>
      <c r="D2" s="24"/>
      <c r="E2" s="24"/>
      <c r="F2" s="24"/>
    </row>
    <row r="4" spans="1:6">
      <c r="A4" s="1" t="s">
        <v>29</v>
      </c>
      <c r="B4" s="1" t="s">
        <v>30</v>
      </c>
      <c r="C4" s="1" t="s">
        <v>31</v>
      </c>
      <c r="D4" s="1" t="s">
        <v>32</v>
      </c>
      <c r="E4" s="1" t="s">
        <v>24</v>
      </c>
      <c r="F4" s="1" t="s">
        <v>25</v>
      </c>
    </row>
    <row r="5" spans="1:6" ht="17.100000000000001" customHeight="1">
      <c r="A5" s="27" t="s">
        <v>33</v>
      </c>
      <c r="B5" s="27"/>
      <c r="C5" s="27"/>
      <c r="D5" s="27"/>
      <c r="E5" s="27"/>
      <c r="F5" s="27"/>
    </row>
    <row r="6" spans="1:6" ht="17.399999999999999">
      <c r="A6" s="11" t="s">
        <v>34</v>
      </c>
      <c r="B6" s="12" t="s">
        <v>35</v>
      </c>
      <c r="C6" s="11" t="s">
        <v>4</v>
      </c>
      <c r="D6" s="8" t="s">
        <v>12</v>
      </c>
      <c r="E6" s="11" t="s">
        <v>36</v>
      </c>
      <c r="F6" s="12" t="s">
        <v>37</v>
      </c>
    </row>
    <row r="7" spans="1:6" ht="17.399999999999999">
      <c r="A7" s="11" t="s">
        <v>38</v>
      </c>
      <c r="B7" s="12" t="s">
        <v>39</v>
      </c>
      <c r="C7" s="11" t="s">
        <v>4</v>
      </c>
      <c r="D7" s="8" t="s">
        <v>12</v>
      </c>
      <c r="E7" s="8"/>
      <c r="F7" s="12"/>
    </row>
    <row r="8" spans="1:6" ht="17.100000000000001" customHeight="1">
      <c r="A8" s="27" t="s">
        <v>40</v>
      </c>
      <c r="B8" s="27"/>
      <c r="C8" s="27"/>
      <c r="D8" s="27"/>
      <c r="E8" s="27"/>
      <c r="F8" s="27"/>
    </row>
    <row r="9" spans="1:6" ht="17.399999999999999">
      <c r="A9" s="11" t="s">
        <v>41</v>
      </c>
      <c r="B9" s="12" t="s">
        <v>42</v>
      </c>
      <c r="C9" s="11" t="s">
        <v>5</v>
      </c>
      <c r="D9" s="8" t="s">
        <v>12</v>
      </c>
      <c r="E9" s="11" t="s">
        <v>43</v>
      </c>
      <c r="F9" s="12"/>
    </row>
    <row r="10" spans="1:6" ht="17.399999999999999">
      <c r="A10" s="11" t="s">
        <v>44</v>
      </c>
      <c r="B10" s="12" t="s">
        <v>45</v>
      </c>
      <c r="C10" s="11" t="s">
        <v>5</v>
      </c>
      <c r="D10" s="8" t="s">
        <v>12</v>
      </c>
      <c r="E10" s="8"/>
      <c r="F10" s="12"/>
    </row>
    <row r="11" spans="1:6" ht="17.399999999999999">
      <c r="A11" s="11" t="s">
        <v>46</v>
      </c>
      <c r="B11" s="12" t="s">
        <v>47</v>
      </c>
      <c r="C11" s="11" t="s">
        <v>5</v>
      </c>
      <c r="D11" s="8" t="s">
        <v>12</v>
      </c>
      <c r="E11" s="8"/>
      <c r="F11" s="12"/>
    </row>
    <row r="12" spans="1:6" ht="17.399999999999999">
      <c r="A12" s="11" t="s">
        <v>48</v>
      </c>
      <c r="B12" s="12" t="s">
        <v>49</v>
      </c>
      <c r="C12" s="11" t="s">
        <v>5</v>
      </c>
      <c r="D12" s="8" t="s">
        <v>12</v>
      </c>
      <c r="E12" s="11" t="s">
        <v>50</v>
      </c>
      <c r="F12" s="12"/>
    </row>
    <row r="13" spans="1:6" ht="17.399999999999999">
      <c r="A13" s="11" t="s">
        <v>51</v>
      </c>
      <c r="B13" s="12" t="s">
        <v>52</v>
      </c>
      <c r="C13" s="11" t="s">
        <v>5</v>
      </c>
      <c r="D13" s="8" t="s">
        <v>12</v>
      </c>
      <c r="E13" s="11" t="s">
        <v>53</v>
      </c>
      <c r="F13" s="13" t="s">
        <v>54</v>
      </c>
    </row>
    <row r="14" spans="1:6" ht="17.100000000000001" customHeight="1">
      <c r="A14" s="27" t="s">
        <v>55</v>
      </c>
      <c r="B14" s="27"/>
      <c r="C14" s="27"/>
      <c r="D14" s="27"/>
      <c r="E14" s="27"/>
      <c r="F14" s="27"/>
    </row>
    <row r="15" spans="1:6" ht="17.399999999999999">
      <c r="A15" s="11" t="s">
        <v>56</v>
      </c>
      <c r="B15" s="12" t="s">
        <v>57</v>
      </c>
      <c r="C15" s="11" t="s">
        <v>6</v>
      </c>
      <c r="D15" s="8" t="s">
        <v>12</v>
      </c>
      <c r="E15" s="11" t="s">
        <v>58</v>
      </c>
      <c r="F15" s="12"/>
    </row>
    <row r="16" spans="1:6" ht="17.399999999999999">
      <c r="A16" s="11">
        <v>11110</v>
      </c>
      <c r="B16" s="12" t="s">
        <v>158</v>
      </c>
      <c r="C16" s="11" t="s">
        <v>160</v>
      </c>
      <c r="D16" s="8" t="s">
        <v>161</v>
      </c>
      <c r="E16" s="11">
        <v>5</v>
      </c>
      <c r="F16" s="12" t="s">
        <v>159</v>
      </c>
    </row>
    <row r="17" spans="1:6" ht="17.399999999999999">
      <c r="A17" s="11" t="s">
        <v>59</v>
      </c>
      <c r="B17" s="12" t="s">
        <v>60</v>
      </c>
      <c r="C17" s="11" t="s">
        <v>6</v>
      </c>
      <c r="D17" s="8" t="s">
        <v>12</v>
      </c>
      <c r="E17" s="8"/>
      <c r="F17" s="12"/>
    </row>
    <row r="18" spans="1:6" ht="17.100000000000001" customHeight="1">
      <c r="A18" s="27" t="s">
        <v>61</v>
      </c>
      <c r="B18" s="27"/>
      <c r="C18" s="27"/>
      <c r="D18" s="27"/>
      <c r="E18" s="27"/>
      <c r="F18" s="27"/>
    </row>
    <row r="19" spans="1:6" ht="17.399999999999999">
      <c r="A19" s="11" t="s">
        <v>62</v>
      </c>
      <c r="B19" s="12" t="s">
        <v>63</v>
      </c>
      <c r="C19" s="11" t="s">
        <v>8</v>
      </c>
      <c r="D19" s="8" t="s">
        <v>12</v>
      </c>
      <c r="E19" s="11" t="s">
        <v>64</v>
      </c>
      <c r="F19" s="12"/>
    </row>
    <row r="20" spans="1:6" ht="17.399999999999999">
      <c r="A20" s="11" t="s">
        <v>65</v>
      </c>
      <c r="B20" s="12" t="s">
        <v>66</v>
      </c>
      <c r="C20" s="11" t="s">
        <v>8</v>
      </c>
      <c r="D20" s="8" t="s">
        <v>12</v>
      </c>
      <c r="E20" s="8"/>
      <c r="F20" s="12"/>
    </row>
    <row r="21" spans="1:6" ht="17.100000000000001" customHeight="1">
      <c r="A21" s="27" t="s">
        <v>67</v>
      </c>
      <c r="B21" s="27"/>
      <c r="C21" s="27"/>
      <c r="D21" s="27"/>
      <c r="E21" s="27"/>
      <c r="F21" s="27"/>
    </row>
    <row r="22" spans="1:6" ht="17.399999999999999">
      <c r="A22" s="11" t="s">
        <v>68</v>
      </c>
      <c r="B22" s="12" t="s">
        <v>69</v>
      </c>
      <c r="C22" s="11" t="s">
        <v>9</v>
      </c>
      <c r="D22" s="8" t="s">
        <v>12</v>
      </c>
      <c r="E22" s="8"/>
      <c r="F22" s="12"/>
    </row>
    <row r="23" spans="1:6" ht="17.399999999999999">
      <c r="A23" s="11" t="s">
        <v>70</v>
      </c>
      <c r="B23" s="12" t="s">
        <v>71</v>
      </c>
      <c r="C23" s="11" t="s">
        <v>9</v>
      </c>
      <c r="D23" s="8" t="s">
        <v>12</v>
      </c>
      <c r="E23" s="8"/>
      <c r="F23" s="12"/>
    </row>
    <row r="24" spans="1:6" ht="17.100000000000001" customHeight="1">
      <c r="A24" s="27" t="s">
        <v>72</v>
      </c>
      <c r="B24" s="27"/>
      <c r="C24" s="27"/>
      <c r="D24" s="27"/>
      <c r="E24" s="27"/>
      <c r="F24" s="27"/>
    </row>
    <row r="25" spans="1:6" ht="17.399999999999999">
      <c r="A25" s="11" t="s">
        <v>73</v>
      </c>
      <c r="B25" s="12" t="s">
        <v>74</v>
      </c>
      <c r="C25" s="11" t="s">
        <v>10</v>
      </c>
      <c r="D25" s="8" t="s">
        <v>12</v>
      </c>
      <c r="E25" s="8"/>
      <c r="F25" s="12"/>
    </row>
    <row r="26" spans="1:6" ht="17.399999999999999">
      <c r="A26" s="19">
        <v>11114</v>
      </c>
      <c r="B26" s="20" t="s">
        <v>162</v>
      </c>
      <c r="C26" s="11" t="s">
        <v>10</v>
      </c>
      <c r="D26" s="8" t="s">
        <v>12</v>
      </c>
      <c r="E26" s="21"/>
      <c r="F26" s="20"/>
    </row>
    <row r="27" spans="1:6" ht="17.100000000000001" customHeight="1">
      <c r="A27" s="26" t="s">
        <v>75</v>
      </c>
      <c r="B27" s="26"/>
      <c r="C27" s="26"/>
      <c r="D27" s="26"/>
      <c r="E27" s="26"/>
      <c r="F27" s="26"/>
    </row>
    <row r="28" spans="1:6" ht="17.399999999999999">
      <c r="A28" s="11" t="s">
        <v>76</v>
      </c>
      <c r="B28" s="12" t="s">
        <v>77</v>
      </c>
      <c r="C28" s="11" t="s">
        <v>4</v>
      </c>
      <c r="D28" s="8" t="s">
        <v>13</v>
      </c>
      <c r="E28" s="11" t="s">
        <v>78</v>
      </c>
      <c r="F28" s="12"/>
    </row>
    <row r="29" spans="1:6" ht="17.399999999999999">
      <c r="A29" s="11" t="s">
        <v>79</v>
      </c>
      <c r="B29" s="12" t="s">
        <v>80</v>
      </c>
      <c r="C29" s="11" t="s">
        <v>4</v>
      </c>
      <c r="D29" s="8" t="s">
        <v>13</v>
      </c>
      <c r="E29" s="11" t="s">
        <v>81</v>
      </c>
      <c r="F29" s="13" t="s">
        <v>82</v>
      </c>
    </row>
    <row r="30" spans="1:6" ht="17.399999999999999">
      <c r="A30" s="11" t="s">
        <v>83</v>
      </c>
      <c r="B30" s="12" t="s">
        <v>84</v>
      </c>
      <c r="C30" s="11" t="s">
        <v>4</v>
      </c>
      <c r="D30" s="8" t="s">
        <v>13</v>
      </c>
      <c r="E30" s="11" t="s">
        <v>85</v>
      </c>
      <c r="F30" s="12" t="s">
        <v>84</v>
      </c>
    </row>
    <row r="31" spans="1:6" ht="17.100000000000001" customHeight="1">
      <c r="A31" s="26" t="s">
        <v>86</v>
      </c>
      <c r="B31" s="26"/>
      <c r="C31" s="26"/>
      <c r="D31" s="26"/>
      <c r="E31" s="26"/>
      <c r="F31" s="26"/>
    </row>
    <row r="32" spans="1:6" ht="17.399999999999999">
      <c r="A32" s="11" t="s">
        <v>87</v>
      </c>
      <c r="B32" s="12" t="s">
        <v>88</v>
      </c>
      <c r="C32" s="11" t="s">
        <v>5</v>
      </c>
      <c r="D32" s="8" t="s">
        <v>13</v>
      </c>
      <c r="E32" s="11" t="s">
        <v>89</v>
      </c>
      <c r="F32" s="12"/>
    </row>
    <row r="33" spans="1:6" ht="17.399999999999999">
      <c r="A33" s="11" t="s">
        <v>90</v>
      </c>
      <c r="B33" s="12" t="s">
        <v>91</v>
      </c>
      <c r="C33" s="11" t="s">
        <v>5</v>
      </c>
      <c r="D33" s="8" t="s">
        <v>13</v>
      </c>
      <c r="E33" s="8"/>
      <c r="F33" s="12"/>
    </row>
    <row r="34" spans="1:6" ht="17.399999999999999">
      <c r="A34" s="11" t="s">
        <v>92</v>
      </c>
      <c r="B34" s="12" t="s">
        <v>93</v>
      </c>
      <c r="C34" s="11" t="s">
        <v>5</v>
      </c>
      <c r="D34" s="8" t="s">
        <v>13</v>
      </c>
      <c r="E34" s="8"/>
      <c r="F34" s="12"/>
    </row>
    <row r="35" spans="1:6" ht="17.399999999999999">
      <c r="A35" s="11" t="s">
        <v>94</v>
      </c>
      <c r="B35" s="12" t="s">
        <v>95</v>
      </c>
      <c r="C35" s="11" t="s">
        <v>5</v>
      </c>
      <c r="D35" s="8" t="s">
        <v>13</v>
      </c>
      <c r="E35" s="8"/>
      <c r="F35" s="12"/>
    </row>
    <row r="36" spans="1:6" ht="17.399999999999999">
      <c r="A36" s="11" t="s">
        <v>96</v>
      </c>
      <c r="B36" s="12" t="s">
        <v>97</v>
      </c>
      <c r="C36" s="11" t="s">
        <v>5</v>
      </c>
      <c r="D36" s="8" t="s">
        <v>13</v>
      </c>
      <c r="E36" s="8"/>
      <c r="F36" s="12" t="s">
        <v>98</v>
      </c>
    </row>
    <row r="37" spans="1:6" ht="17.100000000000001" customHeight="1">
      <c r="A37" s="26" t="s">
        <v>99</v>
      </c>
      <c r="B37" s="26"/>
      <c r="C37" s="26"/>
      <c r="D37" s="26"/>
      <c r="E37" s="26"/>
      <c r="F37" s="26"/>
    </row>
    <row r="38" spans="1:6" ht="17.399999999999999">
      <c r="A38" s="11" t="s">
        <v>100</v>
      </c>
      <c r="B38" s="12" t="s">
        <v>101</v>
      </c>
      <c r="C38" s="11" t="s">
        <v>6</v>
      </c>
      <c r="D38" s="8" t="s">
        <v>13</v>
      </c>
      <c r="E38" s="11" t="s">
        <v>102</v>
      </c>
      <c r="F38" s="12" t="s">
        <v>101</v>
      </c>
    </row>
    <row r="39" spans="1:6" ht="17.399999999999999">
      <c r="A39" s="11" t="s">
        <v>103</v>
      </c>
      <c r="B39" s="12" t="s">
        <v>104</v>
      </c>
      <c r="C39" s="11" t="s">
        <v>6</v>
      </c>
      <c r="D39" s="8" t="s">
        <v>13</v>
      </c>
      <c r="E39" s="11" t="s">
        <v>105</v>
      </c>
      <c r="F39" s="13" t="s">
        <v>106</v>
      </c>
    </row>
    <row r="40" spans="1:6" ht="17.100000000000001" customHeight="1">
      <c r="A40" s="26" t="s">
        <v>107</v>
      </c>
      <c r="B40" s="26"/>
      <c r="C40" s="26"/>
      <c r="D40" s="26"/>
      <c r="E40" s="26"/>
      <c r="F40" s="26"/>
    </row>
    <row r="41" spans="1:6" ht="17.399999999999999">
      <c r="A41" s="11" t="s">
        <v>108</v>
      </c>
      <c r="B41" s="12" t="s">
        <v>109</v>
      </c>
      <c r="C41" s="11" t="s">
        <v>7</v>
      </c>
      <c r="D41" s="8" t="s">
        <v>13</v>
      </c>
      <c r="E41" s="11" t="s">
        <v>110</v>
      </c>
      <c r="F41" s="13" t="s">
        <v>111</v>
      </c>
    </row>
    <row r="42" spans="1:6" ht="17.399999999999999">
      <c r="A42" s="11" t="s">
        <v>112</v>
      </c>
      <c r="B42" s="12" t="s">
        <v>113</v>
      </c>
      <c r="C42" s="11" t="s">
        <v>7</v>
      </c>
      <c r="D42" s="8" t="s">
        <v>13</v>
      </c>
      <c r="E42" s="11" t="s">
        <v>64</v>
      </c>
      <c r="F42" s="13" t="s">
        <v>114</v>
      </c>
    </row>
    <row r="43" spans="1:6" ht="17.399999999999999">
      <c r="A43" s="11" t="s">
        <v>115</v>
      </c>
      <c r="B43" s="12" t="s">
        <v>116</v>
      </c>
      <c r="C43" s="11" t="s">
        <v>7</v>
      </c>
      <c r="D43" s="8" t="s">
        <v>13</v>
      </c>
      <c r="E43" s="8"/>
      <c r="F43" s="12"/>
    </row>
    <row r="44" spans="1:6" ht="17.399999999999999">
      <c r="A44" s="11" t="s">
        <v>117</v>
      </c>
      <c r="B44" s="12" t="s">
        <v>118</v>
      </c>
      <c r="C44" s="11" t="s">
        <v>7</v>
      </c>
      <c r="D44" s="8" t="s">
        <v>13</v>
      </c>
      <c r="E44" s="11" t="s">
        <v>53</v>
      </c>
      <c r="F44" s="12" t="s">
        <v>118</v>
      </c>
    </row>
    <row r="45" spans="1:6" ht="17.399999999999999">
      <c r="A45" s="11" t="s">
        <v>119</v>
      </c>
      <c r="B45" s="12" t="s">
        <v>120</v>
      </c>
      <c r="C45" s="11" t="s">
        <v>7</v>
      </c>
      <c r="D45" s="8" t="s">
        <v>13</v>
      </c>
      <c r="E45" s="11" t="s">
        <v>121</v>
      </c>
      <c r="F45" s="12"/>
    </row>
    <row r="46" spans="1:6" ht="17.399999999999999">
      <c r="A46" s="11" t="s">
        <v>122</v>
      </c>
      <c r="B46" s="12" t="s">
        <v>123</v>
      </c>
      <c r="C46" s="11" t="s">
        <v>7</v>
      </c>
      <c r="D46" s="8" t="s">
        <v>13</v>
      </c>
      <c r="E46" s="8"/>
      <c r="F46" s="12"/>
    </row>
  </sheetData>
  <mergeCells count="12">
    <mergeCell ref="A1:F1"/>
    <mergeCell ref="A2:F2"/>
    <mergeCell ref="A5:F5"/>
    <mergeCell ref="A8:F8"/>
    <mergeCell ref="A14:F14"/>
    <mergeCell ref="A37:F37"/>
    <mergeCell ref="A40:F40"/>
    <mergeCell ref="A18:F18"/>
    <mergeCell ref="A21:F21"/>
    <mergeCell ref="A24:F24"/>
    <mergeCell ref="A27:F27"/>
    <mergeCell ref="A31:F31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topLeftCell="A10" zoomScale="140" zoomScaleNormal="140" workbookViewId="0">
      <selection activeCell="E24" sqref="E24"/>
    </sheetView>
  </sheetViews>
  <sheetFormatPr defaultColWidth="8.6640625" defaultRowHeight="14.4"/>
  <cols>
    <col min="1" max="1" width="10" customWidth="1"/>
    <col min="2" max="3" width="14" customWidth="1"/>
    <col min="4" max="4" width="12" customWidth="1"/>
  </cols>
  <sheetData>
    <row r="1" spans="1:4" ht="41.7" customHeight="1">
      <c r="A1" s="28" t="s">
        <v>124</v>
      </c>
      <c r="B1" s="28"/>
      <c r="C1" s="28"/>
      <c r="D1" s="28"/>
    </row>
    <row r="3" spans="1:4">
      <c r="A3" s="1" t="s">
        <v>29</v>
      </c>
      <c r="B3" s="1" t="s">
        <v>30</v>
      </c>
      <c r="C3" s="1" t="s">
        <v>125</v>
      </c>
      <c r="D3" s="1" t="s">
        <v>126</v>
      </c>
    </row>
    <row r="4" spans="1:4" ht="17.100000000000001" customHeight="1">
      <c r="A4" s="29" t="s">
        <v>127</v>
      </c>
      <c r="B4" s="29"/>
      <c r="C4" s="29"/>
      <c r="D4" s="29"/>
    </row>
    <row r="5" spans="1:4" ht="17.399999999999999">
      <c r="A5" s="11" t="s">
        <v>79</v>
      </c>
      <c r="B5" s="12" t="s">
        <v>80</v>
      </c>
      <c r="C5" s="8" t="s">
        <v>15</v>
      </c>
      <c r="D5" s="11" t="s">
        <v>4</v>
      </c>
    </row>
    <row r="6" spans="1:4" ht="17.100000000000001" customHeight="1">
      <c r="A6" s="29" t="s">
        <v>128</v>
      </c>
      <c r="B6" s="29"/>
      <c r="C6" s="29"/>
      <c r="D6" s="29"/>
    </row>
    <row r="7" spans="1:4" ht="17.399999999999999">
      <c r="A7" s="11" t="s">
        <v>117</v>
      </c>
      <c r="B7" s="12" t="s">
        <v>118</v>
      </c>
      <c r="C7" s="8" t="s">
        <v>15</v>
      </c>
      <c r="D7" s="11" t="s">
        <v>5</v>
      </c>
    </row>
    <row r="8" spans="1:4" ht="17.399999999999999">
      <c r="A8" s="11" t="s">
        <v>96</v>
      </c>
      <c r="B8" s="12" t="s">
        <v>97</v>
      </c>
      <c r="C8" s="8" t="s">
        <v>15</v>
      </c>
      <c r="D8" s="11" t="s">
        <v>5</v>
      </c>
    </row>
    <row r="9" spans="1:4" ht="17.399999999999999">
      <c r="A9" s="11" t="s">
        <v>51</v>
      </c>
      <c r="B9" s="12" t="s">
        <v>52</v>
      </c>
      <c r="C9" s="8" t="s">
        <v>15</v>
      </c>
      <c r="D9" s="11" t="s">
        <v>5</v>
      </c>
    </row>
    <row r="10" spans="1:4" ht="17.100000000000001" customHeight="1">
      <c r="A10" s="29" t="s">
        <v>129</v>
      </c>
      <c r="B10" s="29"/>
      <c r="C10" s="29"/>
      <c r="D10" s="29"/>
    </row>
    <row r="11" spans="1:4" ht="17.399999999999999">
      <c r="A11" s="11" t="s">
        <v>103</v>
      </c>
      <c r="B11" s="12" t="s">
        <v>104</v>
      </c>
      <c r="C11" s="8" t="s">
        <v>15</v>
      </c>
      <c r="D11" s="11" t="s">
        <v>6</v>
      </c>
    </row>
    <row r="12" spans="1:4" ht="17.399999999999999">
      <c r="A12" s="11" t="s">
        <v>122</v>
      </c>
      <c r="B12" s="12" t="s">
        <v>123</v>
      </c>
      <c r="C12" s="8" t="s">
        <v>15</v>
      </c>
      <c r="D12" s="11" t="s">
        <v>6</v>
      </c>
    </row>
    <row r="13" spans="1:4" ht="17.100000000000001" customHeight="1">
      <c r="A13" s="29" t="s">
        <v>130</v>
      </c>
      <c r="B13" s="29"/>
      <c r="C13" s="29"/>
      <c r="D13" s="29"/>
    </row>
    <row r="14" spans="1:4" ht="17.399999999999999">
      <c r="A14" s="11" t="s">
        <v>112</v>
      </c>
      <c r="B14" s="12" t="s">
        <v>113</v>
      </c>
      <c r="C14" s="8" t="s">
        <v>15</v>
      </c>
      <c r="D14" s="11" t="s">
        <v>7</v>
      </c>
    </row>
    <row r="15" spans="1:4" ht="17.399999999999999">
      <c r="A15" s="11" t="s">
        <v>115</v>
      </c>
      <c r="B15" s="12" t="s">
        <v>116</v>
      </c>
      <c r="C15" s="8" t="s">
        <v>15</v>
      </c>
      <c r="D15" s="11" t="s">
        <v>7</v>
      </c>
    </row>
    <row r="16" spans="1:4" ht="17.100000000000001" customHeight="1">
      <c r="A16" s="29" t="s">
        <v>131</v>
      </c>
      <c r="B16" s="29"/>
      <c r="C16" s="29"/>
      <c r="D16" s="29"/>
    </row>
    <row r="17" spans="1:4" ht="17.399999999999999">
      <c r="A17" s="11" t="s">
        <v>68</v>
      </c>
      <c r="B17" s="12" t="s">
        <v>69</v>
      </c>
      <c r="C17" s="8" t="s">
        <v>15</v>
      </c>
      <c r="D17" s="11" t="s">
        <v>9</v>
      </c>
    </row>
    <row r="18" spans="1:4" ht="17.399999999999999">
      <c r="A18" s="11" t="s">
        <v>70</v>
      </c>
      <c r="B18" s="12" t="s">
        <v>71</v>
      </c>
      <c r="C18" s="8" t="s">
        <v>15</v>
      </c>
      <c r="D18" s="11" t="s">
        <v>9</v>
      </c>
    </row>
    <row r="19" spans="1:4" ht="17.100000000000001" customHeight="1">
      <c r="A19" s="30" t="s">
        <v>132</v>
      </c>
      <c r="B19" s="30"/>
      <c r="C19" s="30"/>
      <c r="D19" s="30"/>
    </row>
    <row r="20" spans="1:4" ht="17.399999999999999">
      <c r="A20" s="11" t="s">
        <v>56</v>
      </c>
      <c r="B20" s="12" t="s">
        <v>57</v>
      </c>
      <c r="C20" s="8" t="s">
        <v>16</v>
      </c>
      <c r="D20" s="11" t="s">
        <v>6</v>
      </c>
    </row>
    <row r="21" spans="1:4" ht="17.100000000000001" customHeight="1">
      <c r="A21" s="30" t="s">
        <v>133</v>
      </c>
      <c r="B21" s="30"/>
      <c r="C21" s="30"/>
      <c r="D21" s="30"/>
    </row>
    <row r="22" spans="1:4" ht="17.399999999999999">
      <c r="A22" s="11" t="s">
        <v>65</v>
      </c>
      <c r="B22" s="12" t="s">
        <v>66</v>
      </c>
      <c r="C22" s="8" t="s">
        <v>16</v>
      </c>
      <c r="D22" s="11" t="s">
        <v>8</v>
      </c>
    </row>
    <row r="24" spans="1:4" ht="15">
      <c r="A24" s="18" t="s">
        <v>164</v>
      </c>
      <c r="B24" s="18" t="s">
        <v>163</v>
      </c>
      <c r="C24" s="18" t="s">
        <v>158</v>
      </c>
      <c r="D24">
        <v>11110</v>
      </c>
    </row>
  </sheetData>
  <mergeCells count="8">
    <mergeCell ref="A16:D16"/>
    <mergeCell ref="A19:D19"/>
    <mergeCell ref="A21:D21"/>
    <mergeCell ref="A1:D1"/>
    <mergeCell ref="A4:D4"/>
    <mergeCell ref="A6:D6"/>
    <mergeCell ref="A10:D10"/>
    <mergeCell ref="A13:D13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5"/>
  <sheetViews>
    <sheetView topLeftCell="A8" zoomScale="120" zoomScaleNormal="120" workbookViewId="0">
      <selection activeCell="C40" sqref="C40"/>
    </sheetView>
  </sheetViews>
  <sheetFormatPr defaultColWidth="8.6640625" defaultRowHeight="14.4"/>
  <cols>
    <col min="1" max="1" width="16.33203125" customWidth="1"/>
    <col min="2" max="2" width="16.33203125" style="16" customWidth="1"/>
    <col min="3" max="8" width="16.33203125" customWidth="1"/>
    <col min="9" max="9" width="16.33203125" style="17" customWidth="1"/>
    <col min="10" max="10" width="0.88671875" hidden="1" customWidth="1"/>
  </cols>
  <sheetData>
    <row r="1" spans="1:10" ht="21.6" customHeight="1">
      <c r="A1" s="28" t="s">
        <v>134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31.5" customHeight="1">
      <c r="A3" s="1" t="s">
        <v>29</v>
      </c>
      <c r="B3" s="1" t="s">
        <v>30</v>
      </c>
      <c r="C3" s="1" t="s">
        <v>11</v>
      </c>
      <c r="D3" s="1" t="s">
        <v>135</v>
      </c>
      <c r="E3" s="1" t="s">
        <v>136</v>
      </c>
      <c r="F3" s="1" t="s">
        <v>137</v>
      </c>
      <c r="G3" s="1" t="s">
        <v>138</v>
      </c>
      <c r="H3" s="1" t="s">
        <v>24</v>
      </c>
      <c r="I3" s="1" t="s">
        <v>25</v>
      </c>
      <c r="J3" s="1" t="s">
        <v>11</v>
      </c>
    </row>
    <row r="4" spans="1:10" ht="21" customHeight="1">
      <c r="A4" s="11" t="s">
        <v>41</v>
      </c>
      <c r="B4" s="8" t="s">
        <v>42</v>
      </c>
      <c r="C4" s="9">
        <v>15000</v>
      </c>
      <c r="D4" s="9">
        <v>12000</v>
      </c>
      <c r="E4" s="9">
        <v>0</v>
      </c>
      <c r="F4" s="9">
        <v>3000</v>
      </c>
      <c r="G4" s="9">
        <v>0</v>
      </c>
      <c r="H4" s="11" t="s">
        <v>43</v>
      </c>
      <c r="I4" s="11" t="s">
        <v>139</v>
      </c>
      <c r="J4" s="9">
        <f t="shared" ref="J4:J34" si="0">SUM(D4:G4)</f>
        <v>15000</v>
      </c>
    </row>
    <row r="5" spans="1:10" ht="21" customHeight="1">
      <c r="A5" s="11" t="s">
        <v>108</v>
      </c>
      <c r="B5" s="8" t="s">
        <v>109</v>
      </c>
      <c r="C5" s="9">
        <v>17000</v>
      </c>
      <c r="D5" s="9">
        <v>12000</v>
      </c>
      <c r="E5" s="9">
        <v>0</v>
      </c>
      <c r="F5" s="9">
        <v>3000</v>
      </c>
      <c r="G5" s="9">
        <v>2000</v>
      </c>
      <c r="H5" s="11" t="s">
        <v>110</v>
      </c>
      <c r="I5" s="11" t="s">
        <v>111</v>
      </c>
      <c r="J5" s="9">
        <f t="shared" si="0"/>
        <v>17000</v>
      </c>
    </row>
    <row r="6" spans="1:10" ht="21" customHeight="1">
      <c r="A6" s="11" t="s">
        <v>87</v>
      </c>
      <c r="B6" s="8" t="s">
        <v>88</v>
      </c>
      <c r="C6" s="9">
        <v>15000</v>
      </c>
      <c r="D6" s="9">
        <v>12000</v>
      </c>
      <c r="E6" s="9">
        <v>0</v>
      </c>
      <c r="F6" s="9">
        <v>3000</v>
      </c>
      <c r="G6" s="9">
        <v>0</v>
      </c>
      <c r="H6" s="11" t="s">
        <v>89</v>
      </c>
      <c r="I6" s="11" t="s">
        <v>139</v>
      </c>
      <c r="J6" s="9">
        <f t="shared" si="0"/>
        <v>15000</v>
      </c>
    </row>
    <row r="7" spans="1:10" ht="21" customHeight="1">
      <c r="A7" s="11" t="s">
        <v>100</v>
      </c>
      <c r="B7" s="8" t="s">
        <v>101</v>
      </c>
      <c r="C7" s="9">
        <v>17000</v>
      </c>
      <c r="D7" s="9">
        <v>12000</v>
      </c>
      <c r="E7" s="9">
        <v>0</v>
      </c>
      <c r="F7" s="9">
        <v>3000</v>
      </c>
      <c r="G7" s="9">
        <v>2000</v>
      </c>
      <c r="H7" s="11" t="s">
        <v>102</v>
      </c>
      <c r="I7" s="8" t="s">
        <v>101</v>
      </c>
      <c r="J7" s="9">
        <f t="shared" si="0"/>
        <v>17000</v>
      </c>
    </row>
    <row r="8" spans="1:10" ht="21" customHeight="1">
      <c r="A8" s="11" t="s">
        <v>76</v>
      </c>
      <c r="B8" s="8" t="s">
        <v>77</v>
      </c>
      <c r="C8" s="9">
        <v>15000</v>
      </c>
      <c r="D8" s="9">
        <v>12000</v>
      </c>
      <c r="E8" s="9">
        <v>0</v>
      </c>
      <c r="F8" s="9">
        <v>3000</v>
      </c>
      <c r="G8" s="9">
        <v>0</v>
      </c>
      <c r="H8" s="11" t="s">
        <v>78</v>
      </c>
      <c r="I8" s="11" t="s">
        <v>139</v>
      </c>
      <c r="J8" s="9">
        <f t="shared" si="0"/>
        <v>15000</v>
      </c>
    </row>
    <row r="9" spans="1:10" ht="21" customHeight="1">
      <c r="A9" s="11" t="s">
        <v>112</v>
      </c>
      <c r="B9" s="8" t="s">
        <v>113</v>
      </c>
      <c r="C9" s="9">
        <v>22000</v>
      </c>
      <c r="D9" s="9">
        <v>12000</v>
      </c>
      <c r="E9" s="9">
        <v>5000</v>
      </c>
      <c r="F9" s="9">
        <v>3000</v>
      </c>
      <c r="G9" s="9">
        <v>2000</v>
      </c>
      <c r="H9" s="11" t="s">
        <v>64</v>
      </c>
      <c r="I9" s="11" t="s">
        <v>114</v>
      </c>
      <c r="J9" s="9">
        <f t="shared" si="0"/>
        <v>22000</v>
      </c>
    </row>
    <row r="10" spans="1:10" ht="21" customHeight="1">
      <c r="A10" s="11" t="s">
        <v>115</v>
      </c>
      <c r="B10" s="8" t="s">
        <v>116</v>
      </c>
      <c r="C10" s="9">
        <v>17000</v>
      </c>
      <c r="D10" s="9">
        <v>12000</v>
      </c>
      <c r="E10" s="9">
        <v>5000</v>
      </c>
      <c r="F10" s="9">
        <v>0</v>
      </c>
      <c r="G10" s="9">
        <v>0</v>
      </c>
      <c r="H10" s="11" t="s">
        <v>139</v>
      </c>
      <c r="I10" s="11" t="s">
        <v>139</v>
      </c>
      <c r="J10" s="9">
        <f t="shared" si="0"/>
        <v>17000</v>
      </c>
    </row>
    <row r="11" spans="1:10" ht="21" customHeight="1">
      <c r="A11" s="11" t="s">
        <v>73</v>
      </c>
      <c r="B11" s="8" t="s">
        <v>74</v>
      </c>
      <c r="C11" s="9">
        <v>12000</v>
      </c>
      <c r="D11" s="9">
        <v>12000</v>
      </c>
      <c r="E11" s="9">
        <v>0</v>
      </c>
      <c r="F11" s="9">
        <v>0</v>
      </c>
      <c r="G11" s="9">
        <v>0</v>
      </c>
      <c r="H11" s="11" t="s">
        <v>139</v>
      </c>
      <c r="I11" s="11" t="s">
        <v>139</v>
      </c>
      <c r="J11" s="9">
        <f t="shared" si="0"/>
        <v>12000</v>
      </c>
    </row>
    <row r="12" spans="1:10" ht="21" customHeight="1">
      <c r="A12" s="11" t="s">
        <v>62</v>
      </c>
      <c r="B12" s="8" t="s">
        <v>63</v>
      </c>
      <c r="C12" s="9">
        <v>15000</v>
      </c>
      <c r="D12" s="9">
        <v>12000</v>
      </c>
      <c r="E12" s="9">
        <v>0</v>
      </c>
      <c r="F12" s="9">
        <v>3000</v>
      </c>
      <c r="G12" s="9">
        <v>0</v>
      </c>
      <c r="H12" s="11" t="s">
        <v>64</v>
      </c>
      <c r="I12" s="11" t="s">
        <v>139</v>
      </c>
      <c r="J12" s="9">
        <f t="shared" si="0"/>
        <v>15000</v>
      </c>
    </row>
    <row r="13" spans="1:10" ht="21" customHeight="1">
      <c r="A13" s="11">
        <v>11110</v>
      </c>
      <c r="B13" s="8" t="s">
        <v>158</v>
      </c>
      <c r="C13" s="9">
        <v>22000</v>
      </c>
      <c r="D13" s="9">
        <v>12000</v>
      </c>
      <c r="E13" s="9">
        <v>5000</v>
      </c>
      <c r="F13" s="9">
        <v>3000</v>
      </c>
      <c r="G13" s="9">
        <v>2000</v>
      </c>
      <c r="H13" s="11">
        <v>5</v>
      </c>
      <c r="I13" s="11" t="s">
        <v>159</v>
      </c>
      <c r="J13" s="9">
        <f>SUM(D13:H13)</f>
        <v>22005</v>
      </c>
    </row>
    <row r="14" spans="1:10" ht="21" customHeight="1">
      <c r="A14" s="11" t="s">
        <v>56</v>
      </c>
      <c r="B14" s="8" t="s">
        <v>57</v>
      </c>
      <c r="C14" s="9">
        <v>20000</v>
      </c>
      <c r="D14" s="9">
        <v>12000</v>
      </c>
      <c r="E14" s="9">
        <v>5000</v>
      </c>
      <c r="F14" s="9">
        <v>3000</v>
      </c>
      <c r="G14" s="9">
        <v>0</v>
      </c>
      <c r="H14" s="11" t="s">
        <v>58</v>
      </c>
      <c r="I14" s="11" t="s">
        <v>139</v>
      </c>
      <c r="J14" s="9">
        <f t="shared" si="0"/>
        <v>20000</v>
      </c>
    </row>
    <row r="15" spans="1:10" ht="21" customHeight="1">
      <c r="A15" s="11" t="s">
        <v>65</v>
      </c>
      <c r="B15" s="8" t="s">
        <v>66</v>
      </c>
      <c r="C15" s="9">
        <v>17000</v>
      </c>
      <c r="D15" s="9">
        <v>12000</v>
      </c>
      <c r="E15" s="9">
        <v>5000</v>
      </c>
      <c r="F15" s="9">
        <v>0</v>
      </c>
      <c r="G15" s="9">
        <v>0</v>
      </c>
      <c r="H15" s="11" t="s">
        <v>139</v>
      </c>
      <c r="I15" s="11" t="s">
        <v>139</v>
      </c>
      <c r="J15" s="9">
        <f t="shared" si="0"/>
        <v>17000</v>
      </c>
    </row>
    <row r="16" spans="1:10" ht="21" customHeight="1">
      <c r="A16" s="11" t="s">
        <v>44</v>
      </c>
      <c r="B16" s="8" t="s">
        <v>45</v>
      </c>
      <c r="C16" s="9">
        <v>12000</v>
      </c>
      <c r="D16" s="9">
        <v>12000</v>
      </c>
      <c r="E16" s="9">
        <v>0</v>
      </c>
      <c r="F16" s="9">
        <v>0</v>
      </c>
      <c r="G16" s="9">
        <v>0</v>
      </c>
      <c r="H16" s="11" t="s">
        <v>139</v>
      </c>
      <c r="I16" s="11" t="s">
        <v>139</v>
      </c>
      <c r="J16" s="9">
        <f t="shared" si="0"/>
        <v>12000</v>
      </c>
    </row>
    <row r="17" spans="1:10" ht="21" customHeight="1">
      <c r="A17" s="11" t="s">
        <v>117</v>
      </c>
      <c r="B17" s="8" t="s">
        <v>118</v>
      </c>
      <c r="C17" s="9">
        <v>22000</v>
      </c>
      <c r="D17" s="9">
        <v>12000</v>
      </c>
      <c r="E17" s="9">
        <v>5000</v>
      </c>
      <c r="F17" s="9">
        <v>3000</v>
      </c>
      <c r="G17" s="9">
        <v>2000</v>
      </c>
      <c r="H17" s="11" t="s">
        <v>53</v>
      </c>
      <c r="I17" s="8" t="s">
        <v>118</v>
      </c>
      <c r="J17" s="9">
        <f t="shared" si="0"/>
        <v>22000</v>
      </c>
    </row>
    <row r="18" spans="1:10" ht="21" customHeight="1">
      <c r="A18" s="11" t="s">
        <v>90</v>
      </c>
      <c r="B18" s="8" t="s">
        <v>91</v>
      </c>
      <c r="C18" s="9">
        <v>12000</v>
      </c>
      <c r="D18" s="9">
        <v>12000</v>
      </c>
      <c r="E18" s="9">
        <v>0</v>
      </c>
      <c r="F18" s="9">
        <v>0</v>
      </c>
      <c r="G18" s="9">
        <v>0</v>
      </c>
      <c r="H18" s="11" t="s">
        <v>139</v>
      </c>
      <c r="I18" s="11" t="s">
        <v>139</v>
      </c>
      <c r="J18" s="9">
        <f t="shared" si="0"/>
        <v>12000</v>
      </c>
    </row>
    <row r="19" spans="1:10" ht="21" customHeight="1">
      <c r="A19" s="11" t="s">
        <v>92</v>
      </c>
      <c r="B19" s="8" t="s">
        <v>93</v>
      </c>
      <c r="C19" s="9">
        <v>12000</v>
      </c>
      <c r="D19" s="9">
        <v>12000</v>
      </c>
      <c r="E19" s="9">
        <v>0</v>
      </c>
      <c r="F19" s="9">
        <v>0</v>
      </c>
      <c r="G19" s="9">
        <v>0</v>
      </c>
      <c r="H19" s="11" t="s">
        <v>139</v>
      </c>
      <c r="I19" s="11" t="s">
        <v>139</v>
      </c>
      <c r="J19" s="9">
        <f t="shared" si="0"/>
        <v>12000</v>
      </c>
    </row>
    <row r="20" spans="1:10" ht="21" customHeight="1">
      <c r="A20" s="11" t="s">
        <v>94</v>
      </c>
      <c r="B20" s="8" t="s">
        <v>95</v>
      </c>
      <c r="C20" s="9">
        <v>12000</v>
      </c>
      <c r="D20" s="9">
        <v>12000</v>
      </c>
      <c r="E20" s="9">
        <v>0</v>
      </c>
      <c r="F20" s="9">
        <v>0</v>
      </c>
      <c r="G20" s="9">
        <v>0</v>
      </c>
      <c r="H20" s="11" t="s">
        <v>139</v>
      </c>
      <c r="I20" s="11" t="s">
        <v>139</v>
      </c>
      <c r="J20" s="9">
        <f t="shared" si="0"/>
        <v>12000</v>
      </c>
    </row>
    <row r="21" spans="1:10" ht="21" customHeight="1">
      <c r="A21" s="11" t="s">
        <v>46</v>
      </c>
      <c r="B21" s="8" t="s">
        <v>47</v>
      </c>
      <c r="C21" s="9">
        <v>12000</v>
      </c>
      <c r="D21" s="9">
        <v>12000</v>
      </c>
      <c r="E21" s="9">
        <v>0</v>
      </c>
      <c r="F21" s="9">
        <v>0</v>
      </c>
      <c r="G21" s="9">
        <v>0</v>
      </c>
      <c r="H21" s="11" t="s">
        <v>139</v>
      </c>
      <c r="I21" s="11" t="s">
        <v>139</v>
      </c>
      <c r="J21" s="9">
        <f t="shared" si="0"/>
        <v>12000</v>
      </c>
    </row>
    <row r="22" spans="1:10" ht="21" customHeight="1">
      <c r="A22" s="11" t="s">
        <v>48</v>
      </c>
      <c r="B22" s="8" t="s">
        <v>49</v>
      </c>
      <c r="C22" s="9">
        <v>15000</v>
      </c>
      <c r="D22" s="9">
        <v>12000</v>
      </c>
      <c r="E22" s="9">
        <v>0</v>
      </c>
      <c r="F22" s="9">
        <v>3000</v>
      </c>
      <c r="G22" s="9">
        <v>0</v>
      </c>
      <c r="H22" s="11" t="s">
        <v>50</v>
      </c>
      <c r="I22" s="11" t="s">
        <v>139</v>
      </c>
      <c r="J22" s="9">
        <f t="shared" si="0"/>
        <v>15000</v>
      </c>
    </row>
    <row r="23" spans="1:10" ht="21" customHeight="1">
      <c r="A23" s="11" t="s">
        <v>96</v>
      </c>
      <c r="B23" s="8" t="s">
        <v>97</v>
      </c>
      <c r="C23" s="9">
        <v>19000</v>
      </c>
      <c r="D23" s="9">
        <v>12000</v>
      </c>
      <c r="E23" s="9">
        <v>5000</v>
      </c>
      <c r="F23" s="9">
        <v>0</v>
      </c>
      <c r="G23" s="9">
        <v>2000</v>
      </c>
      <c r="H23" s="11" t="s">
        <v>139</v>
      </c>
      <c r="I23" s="8" t="s">
        <v>98</v>
      </c>
      <c r="J23" s="9">
        <f t="shared" si="0"/>
        <v>19000</v>
      </c>
    </row>
    <row r="24" spans="1:10" ht="21" customHeight="1">
      <c r="A24" s="11" t="s">
        <v>119</v>
      </c>
      <c r="B24" s="8" t="s">
        <v>120</v>
      </c>
      <c r="C24" s="9">
        <v>15000</v>
      </c>
      <c r="D24" s="9">
        <v>12000</v>
      </c>
      <c r="E24" s="9">
        <v>0</v>
      </c>
      <c r="F24" s="9">
        <v>3000</v>
      </c>
      <c r="G24" s="9">
        <v>0</v>
      </c>
      <c r="H24" s="11" t="s">
        <v>121</v>
      </c>
      <c r="I24" s="11" t="s">
        <v>139</v>
      </c>
      <c r="J24" s="9">
        <f t="shared" si="0"/>
        <v>15000</v>
      </c>
    </row>
    <row r="25" spans="1:10" ht="21" customHeight="1">
      <c r="A25" s="11" t="s">
        <v>34</v>
      </c>
      <c r="B25" s="8" t="s">
        <v>35</v>
      </c>
      <c r="C25" s="9">
        <v>17000</v>
      </c>
      <c r="D25" s="9">
        <v>12000</v>
      </c>
      <c r="E25" s="9">
        <v>0</v>
      </c>
      <c r="F25" s="9">
        <v>3000</v>
      </c>
      <c r="G25" s="9">
        <v>2000</v>
      </c>
      <c r="H25" s="11" t="s">
        <v>36</v>
      </c>
      <c r="I25" s="8" t="s">
        <v>37</v>
      </c>
      <c r="J25" s="9">
        <f t="shared" si="0"/>
        <v>17000</v>
      </c>
    </row>
    <row r="26" spans="1:10" ht="21" customHeight="1">
      <c r="A26" s="11" t="s">
        <v>68</v>
      </c>
      <c r="B26" s="8" t="s">
        <v>69</v>
      </c>
      <c r="C26" s="9">
        <v>17000</v>
      </c>
      <c r="D26" s="9">
        <v>12000</v>
      </c>
      <c r="E26" s="9">
        <v>5000</v>
      </c>
      <c r="F26" s="9">
        <v>0</v>
      </c>
      <c r="G26" s="9">
        <v>0</v>
      </c>
      <c r="H26" s="11" t="s">
        <v>139</v>
      </c>
      <c r="I26" s="11" t="s">
        <v>139</v>
      </c>
      <c r="J26" s="9">
        <f t="shared" si="0"/>
        <v>17000</v>
      </c>
    </row>
    <row r="27" spans="1:10" ht="21" customHeight="1">
      <c r="A27" s="11" t="s">
        <v>79</v>
      </c>
      <c r="B27" s="8" t="s">
        <v>80</v>
      </c>
      <c r="C27" s="9">
        <v>22000</v>
      </c>
      <c r="D27" s="9">
        <v>12000</v>
      </c>
      <c r="E27" s="9">
        <v>5000</v>
      </c>
      <c r="F27" s="9">
        <v>3000</v>
      </c>
      <c r="G27" s="9">
        <v>2000</v>
      </c>
      <c r="H27" s="11" t="s">
        <v>81</v>
      </c>
      <c r="I27" s="11" t="s">
        <v>82</v>
      </c>
      <c r="J27" s="9">
        <f t="shared" si="0"/>
        <v>22000</v>
      </c>
    </row>
    <row r="28" spans="1:10" ht="21" customHeight="1">
      <c r="A28" s="11" t="s">
        <v>103</v>
      </c>
      <c r="B28" s="8" t="s">
        <v>104</v>
      </c>
      <c r="C28" s="9">
        <v>22000</v>
      </c>
      <c r="D28" s="9">
        <v>12000</v>
      </c>
      <c r="E28" s="9">
        <v>5000</v>
      </c>
      <c r="F28" s="9">
        <v>3000</v>
      </c>
      <c r="G28" s="9">
        <v>2000</v>
      </c>
      <c r="H28" s="11" t="s">
        <v>105</v>
      </c>
      <c r="I28" s="11" t="s">
        <v>106</v>
      </c>
      <c r="J28" s="9">
        <f t="shared" si="0"/>
        <v>22000</v>
      </c>
    </row>
    <row r="29" spans="1:10" ht="21" customHeight="1">
      <c r="A29" s="11" t="s">
        <v>51</v>
      </c>
      <c r="B29" s="8" t="s">
        <v>52</v>
      </c>
      <c r="C29" s="9">
        <v>22000</v>
      </c>
      <c r="D29" s="9">
        <v>12000</v>
      </c>
      <c r="E29" s="9">
        <v>5000</v>
      </c>
      <c r="F29" s="9">
        <v>3000</v>
      </c>
      <c r="G29" s="9">
        <v>2000</v>
      </c>
      <c r="H29" s="11" t="s">
        <v>53</v>
      </c>
      <c r="I29" s="11" t="s">
        <v>54</v>
      </c>
      <c r="J29" s="9">
        <f t="shared" si="0"/>
        <v>22000</v>
      </c>
    </row>
    <row r="30" spans="1:10" ht="21" customHeight="1">
      <c r="A30" s="11" t="s">
        <v>70</v>
      </c>
      <c r="B30" s="8" t="s">
        <v>71</v>
      </c>
      <c r="C30" s="9">
        <v>17000</v>
      </c>
      <c r="D30" s="9">
        <v>12000</v>
      </c>
      <c r="E30" s="9">
        <v>5000</v>
      </c>
      <c r="F30" s="9">
        <v>0</v>
      </c>
      <c r="G30" s="9">
        <v>0</v>
      </c>
      <c r="H30" s="11" t="s">
        <v>139</v>
      </c>
      <c r="I30" s="11" t="s">
        <v>139</v>
      </c>
      <c r="J30" s="9">
        <f t="shared" si="0"/>
        <v>17000</v>
      </c>
    </row>
    <row r="31" spans="1:10" ht="21" customHeight="1">
      <c r="A31" s="11" t="s">
        <v>38</v>
      </c>
      <c r="B31" s="8" t="s">
        <v>39</v>
      </c>
      <c r="C31" s="9">
        <v>12000</v>
      </c>
      <c r="D31" s="9">
        <v>12000</v>
      </c>
      <c r="E31" s="9">
        <v>0</v>
      </c>
      <c r="F31" s="9">
        <v>0</v>
      </c>
      <c r="G31" s="9">
        <v>0</v>
      </c>
      <c r="H31" s="11" t="s">
        <v>139</v>
      </c>
      <c r="I31" s="11" t="s">
        <v>139</v>
      </c>
      <c r="J31" s="9">
        <f t="shared" si="0"/>
        <v>12000</v>
      </c>
    </row>
    <row r="32" spans="1:10" ht="21" customHeight="1">
      <c r="A32" s="11" t="s">
        <v>59</v>
      </c>
      <c r="B32" s="8" t="s">
        <v>60</v>
      </c>
      <c r="C32" s="9">
        <v>12000</v>
      </c>
      <c r="D32" s="9">
        <v>12000</v>
      </c>
      <c r="E32" s="9">
        <v>0</v>
      </c>
      <c r="F32" s="9">
        <v>0</v>
      </c>
      <c r="G32" s="9">
        <v>0</v>
      </c>
      <c r="H32" s="11" t="s">
        <v>139</v>
      </c>
      <c r="I32" s="11" t="s">
        <v>139</v>
      </c>
      <c r="J32" s="9">
        <f t="shared" si="0"/>
        <v>12000</v>
      </c>
    </row>
    <row r="33" spans="1:10" ht="21" customHeight="1">
      <c r="A33" s="11" t="s">
        <v>83</v>
      </c>
      <c r="B33" s="8" t="s">
        <v>84</v>
      </c>
      <c r="C33" s="9">
        <v>17000</v>
      </c>
      <c r="D33" s="9">
        <v>12000</v>
      </c>
      <c r="E33" s="9">
        <v>0</v>
      </c>
      <c r="F33" s="9">
        <v>3000</v>
      </c>
      <c r="G33" s="9">
        <v>2000</v>
      </c>
      <c r="H33" s="11" t="s">
        <v>85</v>
      </c>
      <c r="I33" s="8" t="s">
        <v>84</v>
      </c>
      <c r="J33" s="9">
        <f t="shared" si="0"/>
        <v>17000</v>
      </c>
    </row>
    <row r="34" spans="1:10" ht="21" customHeight="1">
      <c r="A34" s="11" t="s">
        <v>122</v>
      </c>
      <c r="B34" s="8" t="s">
        <v>123</v>
      </c>
      <c r="C34" s="9">
        <v>17000</v>
      </c>
      <c r="D34" s="9">
        <v>12000</v>
      </c>
      <c r="E34" s="9">
        <v>5000</v>
      </c>
      <c r="F34" s="9">
        <v>0</v>
      </c>
      <c r="G34" s="9">
        <v>0</v>
      </c>
      <c r="H34" s="11" t="s">
        <v>139</v>
      </c>
      <c r="I34" s="11" t="s">
        <v>139</v>
      </c>
      <c r="J34" s="9">
        <f t="shared" si="0"/>
        <v>17000</v>
      </c>
    </row>
    <row r="35" spans="1:10" ht="17.100000000000001" customHeight="1">
      <c r="A35" s="22" t="s">
        <v>11</v>
      </c>
      <c r="B35" s="22"/>
      <c r="C35" s="10">
        <f>SUM(C4:C34)</f>
        <v>510000</v>
      </c>
      <c r="D35" s="10">
        <f>SUM(D4:D34)</f>
        <v>372000</v>
      </c>
      <c r="E35" s="10">
        <f>SUM(E4:E34)</f>
        <v>65000</v>
      </c>
      <c r="F35" s="10">
        <f>SUM(F4:F34)</f>
        <v>51000</v>
      </c>
      <c r="G35" s="10">
        <f>SUM(G4:G34)</f>
        <v>22000</v>
      </c>
      <c r="H35" s="5"/>
      <c r="I35" s="5"/>
      <c r="J35" s="10">
        <f>SUM(J4:J34)</f>
        <v>510005</v>
      </c>
    </row>
  </sheetData>
  <mergeCells count="2">
    <mergeCell ref="A1:J1"/>
    <mergeCell ref="A35:B35"/>
  </mergeCells>
  <phoneticPr fontId="11" type="noConversion"/>
  <printOptions horizontalCentered="1" verticalCentered="1"/>
  <pageMargins left="0.98425196850393704" right="0.98425196850393704" top="0.98425196850393704" bottom="0.98425196850393704" header="0.51181102362204722" footer="0.51181102362204722"/>
  <pageSetup paperSize="9" scale="84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Normal="100" workbookViewId="0">
      <selection activeCell="B22" sqref="B22"/>
    </sheetView>
  </sheetViews>
  <sheetFormatPr defaultColWidth="8.6640625" defaultRowHeight="14.4"/>
  <cols>
    <col min="1" max="1" width="18" customWidth="1"/>
    <col min="2" max="2" width="50" customWidth="1"/>
    <col min="3" max="3" width="42" customWidth="1"/>
  </cols>
  <sheetData>
    <row r="1" spans="1:3" ht="21.6" customHeight="1">
      <c r="A1" s="28" t="s">
        <v>140</v>
      </c>
      <c r="B1" s="28"/>
      <c r="C1" s="28"/>
    </row>
    <row r="3" spans="1:3">
      <c r="A3" s="1" t="s">
        <v>3</v>
      </c>
      <c r="B3" s="1" t="s">
        <v>141</v>
      </c>
      <c r="C3" s="1" t="s">
        <v>142</v>
      </c>
    </row>
    <row r="4" spans="1:3" ht="31.2">
      <c r="A4" s="14" t="s">
        <v>143</v>
      </c>
      <c r="B4" s="15" t="s">
        <v>144</v>
      </c>
      <c r="C4" s="14" t="s">
        <v>145</v>
      </c>
    </row>
    <row r="5" spans="1:3" ht="31.2">
      <c r="A5" s="14" t="s">
        <v>143</v>
      </c>
      <c r="B5" s="15" t="s">
        <v>146</v>
      </c>
      <c r="C5" s="14" t="s">
        <v>147</v>
      </c>
    </row>
    <row r="6" spans="1:3" ht="31.2">
      <c r="A6" s="14" t="s">
        <v>143</v>
      </c>
      <c r="B6" s="15" t="s">
        <v>148</v>
      </c>
      <c r="C6" s="14" t="s">
        <v>147</v>
      </c>
    </row>
    <row r="7" spans="1:3" ht="17.399999999999999">
      <c r="A7" s="12" t="s">
        <v>149</v>
      </c>
      <c r="B7" s="13" t="s">
        <v>150</v>
      </c>
      <c r="C7" s="12" t="s">
        <v>151</v>
      </c>
    </row>
    <row r="8" spans="1:3" ht="17.399999999999999">
      <c r="A8" s="12" t="s">
        <v>152</v>
      </c>
      <c r="B8" s="13" t="s">
        <v>153</v>
      </c>
      <c r="C8" s="12" t="s">
        <v>154</v>
      </c>
    </row>
    <row r="9" spans="1:3" ht="34.799999999999997">
      <c r="A9" s="12" t="s">
        <v>155</v>
      </c>
      <c r="B9" s="12" t="s">
        <v>156</v>
      </c>
      <c r="C9" s="12" t="s">
        <v>157</v>
      </c>
    </row>
  </sheetData>
  <mergeCells count="1">
    <mergeCell ref="A1:C1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1_사이즈별 요약</vt:lpstr>
      <vt:lpstr>2_상의 개별내역</vt:lpstr>
      <vt:lpstr>3_하의 개별내역</vt:lpstr>
      <vt:lpstr>4_학생별 비용</vt:lpstr>
      <vt:lpstr>5_주의사항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윤철 한</cp:lastModifiedBy>
  <cp:revision>0</cp:revision>
  <cp:lastPrinted>2026-04-20T02:55:47Z</cp:lastPrinted>
  <dcterms:created xsi:type="dcterms:W3CDTF">2026-04-20T02:45:34Z</dcterms:created>
  <dcterms:modified xsi:type="dcterms:W3CDTF">2026-04-29T13:18:11Z</dcterms:modified>
  <dc:language>en-US</dc:language>
</cp:coreProperties>
</file>